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K:\Role Swap 2025\1 - Role Swaps PRODDSSs\"/>
    </mc:Choice>
  </mc:AlternateContent>
  <xr:revisionPtr revIDLastSave="1" documentId="8_{F44ED281-63A1-4ED7-81E1-8337FCCC48C9}" xr6:coauthVersionLast="47" xr6:coauthVersionMax="47" xr10:uidLastSave="{8043B31C-DD4E-44A1-B2D6-1DC8236617C7}"/>
  <bookViews>
    <workbookView xWindow="-28920" yWindow="-120" windowWidth="29040" windowHeight="15720" tabRatio="940" firstSheet="1" xr2:uid="{00000000-000D-0000-FFFF-FFFF00000000}"/>
  </bookViews>
  <sheets>
    <sheet name="List of Testers" sheetId="22" r:id="rId1"/>
    <sheet name="iSeries" sheetId="1" r:id="rId2"/>
    <sheet name="SBS" sheetId="5" r:id="rId3"/>
    <sheet name="mimix" sheetId="23" r:id="rId4"/>
    <sheet name="Chart1" sheetId="24" r:id="rId5"/>
  </sheets>
  <definedNames>
    <definedName name="_xlnm.Print_Area" localSheetId="1">iSeries!$A$1:$J$166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0" i="1" l="1"/>
  <c r="D103" i="1"/>
  <c r="D83" i="1"/>
  <c r="D84" i="1" s="1"/>
  <c r="D78" i="1"/>
  <c r="D64" i="1"/>
  <c r="D65" i="1" s="1"/>
  <c r="D9" i="1" l="1"/>
  <c r="D10" i="1" s="1"/>
  <c r="D11" i="1" s="1"/>
  <c r="D12" i="1" s="1"/>
  <c r="D13" i="1" l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l="1"/>
  <c r="D28" i="1" s="1"/>
  <c r="D29" i="1" s="1"/>
  <c r="D30" i="1" s="1"/>
  <c r="D31" i="1" s="1"/>
  <c r="D32" i="1" s="1"/>
  <c r="D33" i="1" s="1"/>
  <c r="D34" i="1" l="1"/>
  <c r="D35" i="1" s="1"/>
  <c r="D36" i="1" s="1"/>
  <c r="D37" i="1" s="1"/>
  <c r="D38" i="1" s="1"/>
  <c r="D39" i="1" s="1"/>
  <c r="D40" i="1" s="1"/>
  <c r="D41" i="1" s="1"/>
  <c r="D42" i="1" s="1"/>
  <c r="D43" i="1" l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l="1"/>
  <c r="D58" i="1" l="1"/>
  <c r="D59" i="1" s="1"/>
  <c r="D60" i="1" s="1"/>
  <c r="D61" i="1" s="1"/>
  <c r="D62" i="1" s="1"/>
  <c r="D63" i="1" s="1"/>
  <c r="D66" i="1" s="1"/>
  <c r="D67" i="1" s="1"/>
  <c r="D68" i="1" s="1"/>
  <c r="D69" i="1" s="1"/>
  <c r="D70" i="1" s="1"/>
  <c r="D71" i="1" s="1"/>
  <c r="D72" i="1" s="1"/>
  <c r="D85" i="1" l="1"/>
  <c r="D86" i="1" s="1"/>
  <c r="D87" i="1" s="1"/>
  <c r="D73" i="1"/>
  <c r="D93" i="1" l="1"/>
  <c r="D94" i="1" s="1"/>
  <c r="D95" i="1" s="1"/>
  <c r="D96" i="1" s="1"/>
  <c r="D97" i="1" s="1"/>
  <c r="D79" i="1" s="1"/>
  <c r="D80" i="1" s="1"/>
  <c r="D81" i="1" s="1"/>
  <c r="D82" i="1" s="1"/>
  <c r="D74" i="1" s="1"/>
  <c r="D75" i="1" s="1"/>
  <c r="D76" i="1" s="1"/>
  <c r="D77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88" i="1"/>
  <c r="D89" i="1" s="1"/>
  <c r="D90" i="1" s="1"/>
  <c r="D91" i="1" s="1"/>
  <c r="D92" i="1" s="1"/>
  <c r="D98" i="1" s="1"/>
  <c r="D99" i="1" s="1"/>
  <c r="D100" i="1" s="1"/>
  <c r="D101" i="1" s="1"/>
  <c r="D102" i="1" s="1"/>
  <c r="D119" i="1" l="1"/>
  <c r="D121" i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</calcChain>
</file>

<file path=xl/sharedStrings.xml><?xml version="1.0" encoding="utf-8"?>
<sst xmlns="http://schemas.openxmlformats.org/spreadsheetml/2006/main" count="550" uniqueCount="212">
  <si>
    <r>
      <rPr>
        <sz val="11"/>
        <color rgb="FF000000"/>
        <rFont val="Trebuchet MS"/>
      </rPr>
      <t>  2   </t>
    </r>
    <r>
      <rPr>
        <b/>
        <sz val="11"/>
        <color rgb="FF000000"/>
        <rFont val="Trebuchet MS"/>
      </rPr>
      <t xml:space="preserve">Role Swap </t>
    </r>
    <r>
      <rPr>
        <b/>
        <sz val="11"/>
        <color rgb="FFFF0000"/>
        <rFont val="Trebuchet MS"/>
      </rPr>
      <t>PRODDSS</t>
    </r>
    <r>
      <rPr>
        <b/>
        <sz val="11"/>
        <color rgb="FF000000"/>
        <rFont val="Trebuchet MS"/>
      </rPr>
      <t xml:space="preserve">/Temple to </t>
    </r>
    <r>
      <rPr>
        <b/>
        <sz val="11"/>
        <color rgb="FFFF0000"/>
        <rFont val="Trebuchet MS"/>
      </rPr>
      <t>PRODDSS</t>
    </r>
    <r>
      <rPr>
        <b/>
        <sz val="11"/>
        <color rgb="FF000000"/>
        <rFont val="Trebuchet MS"/>
      </rPr>
      <t>/Carrollton</t>
    </r>
  </si>
  <si>
    <r>
      <t xml:space="preserve">                             </t>
    </r>
    <r>
      <rPr>
        <sz val="11"/>
        <color rgb="FF000000"/>
        <rFont val="Trebuchet MS"/>
        <family val="2"/>
      </rPr>
      <t> </t>
    </r>
    <r>
      <rPr>
        <sz val="11"/>
        <color theme="1"/>
        <rFont val="Trebuchet MS"/>
        <family val="2"/>
      </rPr>
      <t>Saturday  2/15/2024 -  Starting at 8</t>
    </r>
    <r>
      <rPr>
        <sz val="11"/>
        <color rgb="FFFF0000"/>
        <rFont val="Trebuchet MS"/>
        <family val="2"/>
      </rPr>
      <t>:30 am</t>
    </r>
  </si>
  <si>
    <t>Kyle Cushman (JDE/RODS)</t>
  </si>
  <si>
    <t>Michael M. and Scott D.</t>
  </si>
  <si>
    <t>Bala Mallampati  (Cognos-Reports)</t>
  </si>
  <si>
    <t>Braxton Mitchell</t>
  </si>
  <si>
    <t>(load balance - netscaler - multiple)</t>
  </si>
  <si>
    <t>Syndee Stiles</t>
  </si>
  <si>
    <r>
      <t>Tammy Fields</t>
    </r>
    <r>
      <rPr>
        <sz val="16"/>
        <color rgb="FF000000"/>
        <rFont val="Courier New"/>
        <family val="3"/>
      </rPr>
      <t xml:space="preserve"> (479</t>
    </r>
    <r>
      <rPr>
        <sz val="16"/>
        <color theme="1"/>
        <rFont val="Courier New"/>
        <family val="3"/>
      </rPr>
      <t>-936-1266)</t>
    </r>
  </si>
  <si>
    <t>Jason Deal - DNS</t>
  </si>
  <si>
    <t>Workday?</t>
  </si>
  <si>
    <t>Alteryx Server - Roland M. added Feb 2025</t>
  </si>
  <si>
    <t>Goldengate</t>
  </si>
  <si>
    <t>DATE:</t>
  </si>
  <si>
    <t xml:space="preserve"> </t>
  </si>
  <si>
    <t>iSeries System Outage Agenda</t>
  </si>
  <si>
    <t>Start</t>
  </si>
  <si>
    <t>End</t>
  </si>
  <si>
    <t>Steps</t>
  </si>
  <si>
    <t>Activity</t>
  </si>
  <si>
    <t>Sys</t>
  </si>
  <si>
    <t>Notes</t>
  </si>
  <si>
    <t>ISERIES-907 -- CM-23806</t>
  </si>
  <si>
    <t>INFO</t>
  </si>
  <si>
    <t>Friday</t>
  </si>
  <si>
    <t>Mary</t>
  </si>
  <si>
    <t>Do a do ETS50050 *disable mimix audits</t>
  </si>
  <si>
    <t>PE</t>
  </si>
  <si>
    <t>Hold Re* 'Saturday Jobs  RE020SAT,  RE030SAT, RE040SAT</t>
  </si>
  <si>
    <t>Saturday</t>
  </si>
  <si>
    <t>Ops</t>
  </si>
  <si>
    <t>Start Teams Meeting</t>
  </si>
  <si>
    <t xml:space="preserve">        </t>
  </si>
  <si>
    <r>
      <t xml:space="preserve">Signon to CONSOLE as </t>
    </r>
    <r>
      <rPr>
        <b/>
        <i/>
        <u/>
        <sz val="16"/>
        <color rgb="FFFF0000"/>
        <rFont val="Segoe UI"/>
        <family val="2"/>
      </rPr>
      <t>myself</t>
    </r>
    <r>
      <rPr>
        <sz val="16"/>
        <rFont val="Segoe UI"/>
        <family val="2"/>
      </rPr>
      <t xml:space="preserve"> to PRODDSS/Temple  </t>
    </r>
  </si>
  <si>
    <t>DSS/T</t>
  </si>
  <si>
    <t xml:space="preserve">10.7.1.180
</t>
  </si>
  <si>
    <t>Logon to Teams Meeting</t>
  </si>
  <si>
    <t>https://olamvssprod.mclaneco.com</t>
  </si>
  <si>
    <t>Select Template Needed                                                                                                                                                     Change DNS: PRODDSS  and RODS to point from 10.7.1.230 to 10.7.1.163</t>
  </si>
  <si>
    <t>ipconfig /flushdns</t>
  </si>
  <si>
    <t>Test ping after DNS chgs: RODS.APPN.SNA.IBM.COM ; PRODDSS.APPN.SNA.IBM.COM</t>
  </si>
  <si>
    <t>End Robot Schedule: rbo&gt;1&gt;3&gt;2</t>
  </si>
  <si>
    <t>ENDs Replication between PRODE/TEMPLE  to PRODDSS/TEMPLE</t>
  </si>
  <si>
    <r>
      <rPr>
        <b/>
        <sz val="16"/>
        <color rgb="FFFF0000"/>
        <rFont val="Segoe UI"/>
        <family val="2"/>
      </rPr>
      <t>MIMIX/ENDMMX</t>
    </r>
    <r>
      <rPr>
        <sz val="16"/>
        <rFont val="Segoe UI"/>
        <family val="2"/>
      </rPr>
      <t xml:space="preserve"> and Press Enter</t>
    </r>
  </si>
  <si>
    <t>if &gt; 10 minutes</t>
  </si>
  <si>
    <r>
      <t xml:space="preserve">MIMIX/WRKDG to monitor (prode)  </t>
    </r>
    <r>
      <rPr>
        <b/>
        <sz val="16"/>
        <color rgb="FFFF0000"/>
        <rFont val="Segoe UI"/>
        <family val="2"/>
      </rPr>
      <t xml:space="preserve"> MIMIXIASP/WRKDG</t>
    </r>
    <r>
      <rPr>
        <sz val="16"/>
        <rFont val="Segoe UI"/>
        <family val="2"/>
      </rPr>
      <t xml:space="preserve"> to monitor (proddss)</t>
    </r>
  </si>
  <si>
    <t>make sure all datagroups are down, end manually if needed</t>
  </si>
  <si>
    <r>
      <rPr>
        <b/>
        <sz val="16"/>
        <color rgb="FFFF0000"/>
        <rFont val="Segoe UI"/>
        <family val="2"/>
      </rPr>
      <t>MIMIX/WRKSYS</t>
    </r>
    <r>
      <rPr>
        <sz val="16"/>
        <rFont val="Segoe UI"/>
        <family val="2"/>
      </rPr>
      <t xml:space="preserve">    *INACTIVE all</t>
    </r>
  </si>
  <si>
    <t>Subsystem Active and ports are active</t>
  </si>
  <si>
    <t>After ending mimix, ports should only be *active under all 4 nodes sbs</t>
  </si>
  <si>
    <t>DSS/C</t>
  </si>
  <si>
    <t>PA</t>
  </si>
  <si>
    <r>
      <t xml:space="preserve">End mimix sbs on proddss/prod it should be showing two ports: </t>
    </r>
    <r>
      <rPr>
        <b/>
        <sz val="14"/>
        <rFont val="Segoe UI"/>
        <family val="2"/>
      </rPr>
      <t xml:space="preserve"> </t>
    </r>
    <r>
      <rPr>
        <b/>
        <sz val="14"/>
        <color rgb="FFFF0000"/>
        <rFont val="Segoe UI"/>
        <family val="2"/>
      </rPr>
      <t>ENDSBS SBS(MIMIXSBS) OPTION(*IMMED)</t>
    </r>
  </si>
  <si>
    <r>
      <t xml:space="preserve">End mimix sbs on proddss/ha it should be showing 1 port:  </t>
    </r>
    <r>
      <rPr>
        <b/>
        <sz val="14"/>
        <color rgb="FFFF0000"/>
        <rFont val="Segoe UI"/>
        <family val="2"/>
      </rPr>
      <t>ENDSBS SBS(MIMIXSBS) OPTION(*IMMED)</t>
    </r>
  </si>
  <si>
    <t>Kill sbs's on proddss/prod and proddss/ha to kill ports</t>
  </si>
  <si>
    <t>2 ports/source….1 port/target active</t>
  </si>
  <si>
    <r>
      <rPr>
        <b/>
        <sz val="16"/>
        <color rgb="FFFF0000"/>
        <rFont val="Segoe UI"/>
        <family val="2"/>
      </rPr>
      <t xml:space="preserve">ENDTCPIFC INTNETADR('10.7.1.169') </t>
    </r>
    <r>
      <rPr>
        <sz val="16"/>
        <color rgb="FFFF0000"/>
        <rFont val="Segoe UI"/>
        <family val="2"/>
      </rPr>
      <t xml:space="preserve"> </t>
    </r>
  </si>
  <si>
    <t xml:space="preserve">Deactivate 10.7.1.169 - </t>
  </si>
  <si>
    <r>
      <t xml:space="preserve">Verified it's ended&gt;  </t>
    </r>
    <r>
      <rPr>
        <b/>
        <sz val="16"/>
        <color rgb="FFFF0000"/>
        <rFont val="Segoe UI"/>
        <family val="2"/>
      </rPr>
      <t>NETSTAT OPTION(*IFC)</t>
    </r>
  </si>
  <si>
    <t>Before and After Images</t>
  </si>
  <si>
    <r>
      <t xml:space="preserve"> </t>
    </r>
    <r>
      <rPr>
        <b/>
        <sz val="16"/>
        <color rgb="FFFF0000"/>
        <rFont val="Segoe UI"/>
        <family val="2"/>
      </rPr>
      <t xml:space="preserve">STRTCPIFC INTNETADR('10.7.1.169') </t>
    </r>
  </si>
  <si>
    <t>Activate 10.7.1.169 -</t>
  </si>
  <si>
    <r>
      <t xml:space="preserve">Verified it's ended&gt; </t>
    </r>
    <r>
      <rPr>
        <sz val="16"/>
        <color rgb="FFFF0000"/>
        <rFont val="Segoe UI"/>
        <family val="2"/>
      </rPr>
      <t xml:space="preserve"> </t>
    </r>
    <r>
      <rPr>
        <b/>
        <sz val="16"/>
        <color rgb="FFFF0000"/>
        <rFont val="Segoe UI"/>
        <family val="2"/>
      </rPr>
      <t>NETSTAT OPTION(*IFC)</t>
    </r>
  </si>
  <si>
    <t>Start Role Swap from Proddss/Prod to Proddss/HA</t>
  </si>
  <si>
    <t>Logoff and back on to CONSOLE as QSECOFR  PRODDSS/Temple</t>
  </si>
  <si>
    <t>10.7.1.180</t>
  </si>
  <si>
    <t>WRKCLU</t>
  </si>
  <si>
    <t>Run QZRDPWRHA/CHKDUPLIBS  IASP(DSSIASP)</t>
  </si>
  <si>
    <t>ADDLIBLE QZRDPWRHA and QZRDHASM</t>
  </si>
  <si>
    <t>QSYS/WRKASPJOB   *end all jobs</t>
  </si>
  <si>
    <t>Take Option 9 - Verify DSSDEVCRG Resource Group is Active and Primary Node is Correct</t>
  </si>
  <si>
    <t xml:space="preserve">Option 6  </t>
  </si>
  <si>
    <t>Take Option 10 - Verify ASP Copy&gt; Take Option 25 on DSSPROD, make sure Asp Copy is Corret</t>
  </si>
  <si>
    <t>qbatch has to be active….start sbs qbatch in library qsys on all 4 nodes</t>
  </si>
  <si>
    <t>DA/T</t>
  </si>
  <si>
    <t>Take Option 9 &gt; Take Option 3=Change primary&gt; DSSDEVCRG</t>
  </si>
  <si>
    <t>DSST</t>
  </si>
  <si>
    <t>qbatch</t>
  </si>
  <si>
    <t>Varyoff should take 2:02 on source/Job ends once it has vary off the iasp</t>
  </si>
  <si>
    <t>Start another session to PRODDSS/Temple to monitor:  ASP State will go to VARYOFF</t>
  </si>
  <si>
    <t>Signon to CONSOLE as QSECOFR on PRODDSS/Carrolton to Monitor: ASP State will go to AVAILABLE</t>
  </si>
  <si>
    <t>10.7.1.130</t>
  </si>
  <si>
    <t>Takes 1:37 to varyon iasp on dss car/Once role swap starts job runs in qbatch on target system</t>
  </si>
  <si>
    <t>Verify Direction of Replication has been switch</t>
  </si>
  <si>
    <t>10.7.1.182 or 10.7.1.132</t>
  </si>
  <si>
    <t>Verify Cluster on all 4 nodes are active</t>
  </si>
  <si>
    <t>Verify 3rd party software on PRODDSS/COLO</t>
  </si>
  <si>
    <t xml:space="preserve">Apply Turnover Key   </t>
  </si>
  <si>
    <t>logon as me</t>
  </si>
  <si>
    <t>'IFS KEY:    /home/unicom/licenses/TN4/*</t>
  </si>
  <si>
    <t>IBM I Access Client Solutions to rename</t>
  </si>
  <si>
    <t xml:space="preserve">&gt; RENAME License to LicenseTemple2025 </t>
  </si>
  <si>
    <t>&gt; RENAME LicenseCOLO2025 to License</t>
  </si>
  <si>
    <t>LPAR 3</t>
  </si>
  <si>
    <t>SOFTTURNE/TWRKLIC</t>
  </si>
  <si>
    <t>had to ftp M4SYS library from upgrade/*sysbas</t>
  </si>
  <si>
    <r>
      <t xml:space="preserve">STRSBS QGPL/TSERVER if not started&gt;  </t>
    </r>
    <r>
      <rPr>
        <b/>
        <sz val="16"/>
        <rFont val="Segoe UI"/>
        <family val="2"/>
      </rPr>
      <t>STRSBS SBSD(QGPL/TSERVER)</t>
    </r>
  </si>
  <si>
    <t>Option 11&gt;Option 1&gt;2=change PRODDSS&gt;Change Serial number to *LOCAL and Press Enter</t>
  </si>
  <si>
    <t>SN# 7858711</t>
  </si>
  <si>
    <t>Robot Schedule</t>
  </si>
  <si>
    <t>login as mlengbr2</t>
  </si>
  <si>
    <t>Bring down RBTSLEEPER Subsystem by running&gt;  RBTSYSLIB/RSLSHUTDWN</t>
  </si>
  <si>
    <t>rbtsyslib/rslshutdwn</t>
  </si>
  <si>
    <t>SKIP</t>
  </si>
  <si>
    <t>(RSLCHGSYSN BEFORE(PRODDSS) AFTER(PRODDSS) PRODUCT(ROBOT))</t>
  </si>
  <si>
    <t>same system name</t>
  </si>
  <si>
    <t>RSLSETOID PRC(RBT)</t>
  </si>
  <si>
    <t>STRSBS SBSD(RBTSYSLIB/RBTSLEEPER)</t>
  </si>
  <si>
    <t>Verify that all subsystems are Active  see Tab</t>
  </si>
  <si>
    <t>Verify all tcp servers and host servers are active that should be</t>
  </si>
  <si>
    <t xml:space="preserve">Host Table Changes on PRODDSSHA </t>
  </si>
  <si>
    <t>DSS/HA</t>
  </si>
  <si>
    <t>F15 Postion To</t>
  </si>
  <si>
    <t>RMVTCPHTE INTNETADR('10.7.1.230')</t>
  </si>
  <si>
    <t>RMVTCPHTE INTNETADR('10.7.1.163')</t>
  </si>
  <si>
    <t>ADDTCPHTE INTNETADR('10.7.1.163') HOSTNAME((PRODDSS) (PRODDSS.APPN.SNA.IBM.COM) (RODS) (MSDSS) (MXVPRDSS) (BRMSDSS))</t>
  </si>
  <si>
    <t>ADDTCPHTE INTNETADR('10.7.1.230') HOSTNAME((BRMSDSS))</t>
  </si>
  <si>
    <t>I need for MIMIX</t>
  </si>
  <si>
    <t xml:space="preserve">Host Table Changes on PRODDSS </t>
  </si>
  <si>
    <t>ADDTCPHTE INTNETADR('10.7.1.163') HOSTNAME((PRODDSS) (PRODDSS.APPN.SNA.IBM.COM) (RODS) (MSDSS) (MXVPRDSS) )</t>
  </si>
  <si>
    <t xml:space="preserve">Host Table Changes for Prode </t>
  </si>
  <si>
    <t xml:space="preserve">PE </t>
  </si>
  <si>
    <t>ADDTCPHTE INTNETADR('10.7.1.163') HOSTNAME((PRODDSS) (PRODDSS.APPN.SNA.IBM.COM) (RODS) (MSDSS) (MXVPDSS) (BRMSDSS))</t>
  </si>
  <si>
    <t>Host Table Changes for Proda</t>
  </si>
  <si>
    <t>Host Table Changes on DEVA/HA</t>
  </si>
  <si>
    <t>DEVA/HA</t>
  </si>
  <si>
    <t>ADDTCPHTE INTNETADR('10.7.1.163') HOSTNAME((PRODDSS) (PRODDSS.APPN.SNA.IBM.COM) (RODSVRT) (BRMSDSS))</t>
  </si>
  <si>
    <t>Host Table Changes on DEVA</t>
  </si>
  <si>
    <t>DEVA</t>
  </si>
  <si>
    <t>Turn Over To Teams for Testing</t>
  </si>
  <si>
    <t>OPS</t>
  </si>
  <si>
    <t>See Tab 1 for List of Testers</t>
  </si>
  <si>
    <t xml:space="preserve">JDE   </t>
  </si>
  <si>
    <t>Compare counts prior to starting MIMIX</t>
  </si>
  <si>
    <t>Run ETS50204    RUNQRY ZMARY/ROLECNTSPE   to display before counts</t>
  </si>
  <si>
    <t>START MIMIX REPLICATION BETWEEN PRODE/PROD TO PRODDSS/HA</t>
  </si>
  <si>
    <t>MIMIX</t>
  </si>
  <si>
    <t xml:space="preserve">STRSQL verify relational database if PRODDSS </t>
  </si>
  <si>
    <t>before on prode to proddsst</t>
  </si>
  <si>
    <r>
      <t xml:space="preserve">WRKRD* delete             </t>
    </r>
    <r>
      <rPr>
        <b/>
        <sz val="16"/>
        <color rgb="FFFF0000"/>
        <rFont val="Segoe UI"/>
        <family val="2"/>
      </rPr>
      <t xml:space="preserve"> MX_MIMIXIASP_IABA   10.7.1.169</t>
    </r>
  </si>
  <si>
    <t>dssiasp/prode&amp;proddss;proddss/proda&amp;proddssha</t>
  </si>
  <si>
    <t>ADDRDBDIRE RDB(PRODDSS MX_MIMIXIASP_IABA) RMTLOCNAME('10.7.1.169' *IP)  **floating ip</t>
  </si>
  <si>
    <t>RDB* from DSSIASP to PRODDSS/name of the IASP in wrkrb*/*LOOPBACK  is the Relational Database</t>
  </si>
  <si>
    <t>Verify MIMIX SBS is started on PRODE and PRODA</t>
  </si>
  <si>
    <r>
      <t xml:space="preserve">Start MIMIX SBS on Proddss/Prod/Temple&gt;&gt;     </t>
    </r>
    <r>
      <rPr>
        <b/>
        <sz val="16"/>
        <color rgb="FFFF0000"/>
        <rFont val="Segoe UI"/>
        <family val="2"/>
      </rPr>
      <t>STRSBS MIMIXQGPL/MIMIXSBS</t>
    </r>
  </si>
  <si>
    <t>Should only have 1 port active AND  10.7.1.169 S/B *inactive</t>
  </si>
  <si>
    <r>
      <t xml:space="preserve">Start MIMIX SBS on Proddss/Car&gt;&gt;              </t>
    </r>
    <r>
      <rPr>
        <b/>
        <sz val="16"/>
        <color rgb="FFFF0000"/>
        <rFont val="Segoe UI"/>
        <family val="2"/>
      </rPr>
      <t>STRSBS MIMIXQGPL/MIMIXSBS</t>
    </r>
  </si>
  <si>
    <t>Make sure both ports are active</t>
  </si>
  <si>
    <t>SEE MIMIX TAB</t>
  </si>
  <si>
    <t>LOGON: MLENGBR2 &gt; MIMIXIASP/MIMIX  &gt;MIMIXIASP/STRSVR HOST('10.7.1.169') PORT(50500)</t>
  </si>
  <si>
    <t>RUN IF PORT WILL NOT START</t>
  </si>
  <si>
    <t>MIMIX/WRKSYS Option 9</t>
  </si>
  <si>
    <t>starts communication</t>
  </si>
  <si>
    <t>MIMIX/STRMMX to start replication</t>
  </si>
  <si>
    <t>Check File counts once MIMIX has been Started to make sure they are changing</t>
  </si>
  <si>
    <t>Run ETS50205    RUNQRY ZMARY/ROLECNTSPA   to display before counts</t>
  </si>
  <si>
    <t>MISC</t>
  </si>
  <si>
    <t>Make Sure Robot Schedule has Been Started</t>
  </si>
  <si>
    <t>Check robot/console    AND   robot alert</t>
  </si>
  <si>
    <t>Run miss jobs/start robot jobs that need to be started</t>
  </si>
  <si>
    <r>
      <t xml:space="preserve">Robot Schedule:  display missed jobs    time frame: 08:30 </t>
    </r>
    <r>
      <rPr>
        <b/>
        <sz val="16"/>
        <rFont val="Segoe UI"/>
        <family val="2"/>
      </rPr>
      <t xml:space="preserve">to ????   </t>
    </r>
    <r>
      <rPr>
        <sz val="16"/>
        <rFont val="Segoe UI"/>
        <family val="2"/>
      </rPr>
      <t>date:</t>
    </r>
    <r>
      <rPr>
        <b/>
        <sz val="16"/>
        <rFont val="Segoe UI"/>
        <family val="2"/>
      </rPr>
      <t xml:space="preserve"> 02/15/2025</t>
    </r>
  </si>
  <si>
    <t>Do a 'DO' on ETS50020 Terminated jobs</t>
  </si>
  <si>
    <t>Release   'Saturday Jobs  RE020SAT,  RE030SAT, RE040SAT' and DO if needed</t>
  </si>
  <si>
    <t>Release ETS50051 *enable mimix audits</t>
  </si>
  <si>
    <t xml:space="preserve">Verify that performance is running  </t>
  </si>
  <si>
    <t>Do a 'DO' on ETS50001 Disable APPADMIN &amp; SYSMGMT</t>
  </si>
  <si>
    <t>DO' on Robot job ETS40080 to Reset Robot Host Node for GUI monitor</t>
  </si>
  <si>
    <t>ROBOT NETWORK GUI AFTER ROLE SWAP</t>
  </si>
  <si>
    <t>ROBOT GUI  - NETWORK</t>
  </si>
  <si>
    <t>RBTNETNODE/RBNENDNODE</t>
  </si>
  <si>
    <t xml:space="preserve">RSLWL  </t>
  </si>
  <si>
    <t>IFS</t>
  </si>
  <si>
    <t>ROBOT NETWORK&gt;nodeConfig.xml
&gt;&gt;&gt;search on Primary Shift/F4</t>
  </si>
  <si>
    <t xml:space="preserve">RBTNETNODE/RBNCFGNODE HOSTIP('10.7.1.234') AHOSTIP(*NONE) </t>
  </si>
  <si>
    <t>RBTNETNODE/RBNSTRNODE</t>
  </si>
  <si>
    <t>IF MULTIPLE NODES IN GREY: GO TO PRODE</t>
  </si>
  <si>
    <t>RBTNETLIB/RBNDLTNODE F4 and input DEVA  (delete twice if needed)</t>
  </si>
  <si>
    <t>PRODDSS/PROD</t>
  </si>
  <si>
    <t>PRODDSS/HA</t>
  </si>
  <si>
    <t>Subsystem</t>
  </si>
  <si>
    <t>MIMIXSBS</t>
  </si>
  <si>
    <t>MIMIXQGPL</t>
  </si>
  <si>
    <t>QBATCH</t>
  </si>
  <si>
    <t>QSYS</t>
  </si>
  <si>
    <t>QCMN</t>
  </si>
  <si>
    <t>QSTRUPPGM</t>
  </si>
  <si>
    <t>QCTL</t>
  </si>
  <si>
    <t>Startup program</t>
  </si>
  <si>
    <t>QHTTPSVR</t>
  </si>
  <si>
    <t>QINTER</t>
  </si>
  <si>
    <t>QSERVER</t>
  </si>
  <si>
    <t>. :   STRPWRHA71</t>
  </si>
  <si>
    <t>QSNADS</t>
  </si>
  <si>
    <t>. :     PRDPWRHA</t>
  </si>
  <si>
    <t>this call qgpl/startup</t>
  </si>
  <si>
    <t>QSPL</t>
  </si>
  <si>
    <t>QSYSWRK</t>
  </si>
  <si>
    <t>qgpl/startup</t>
  </si>
  <si>
    <t>OBJ/AMSCONFIG</t>
  </si>
  <si>
    <t>did not come up when role swap to ha</t>
  </si>
  <si>
    <t>QUSRWRK</t>
  </si>
  <si>
    <t>Q1ABRMNET</t>
  </si>
  <si>
    <t>QBRM</t>
  </si>
  <si>
    <t>RBTSLEEPER</t>
  </si>
  <si>
    <t>RBTSYSLIB</t>
  </si>
  <si>
    <t>TSERVER</t>
  </si>
  <si>
    <t>QGPL</t>
  </si>
  <si>
    <t>******this was the only sbs that did not come up</t>
  </si>
  <si>
    <t>all sbs up on the way back</t>
  </si>
  <si>
    <t>Current connection is to relational database DSSIASP.</t>
  </si>
  <si>
    <t>MIMIXIASP/STRSVR HOST('10.7.1.169') PORT(50500) JOBD(MIMIXIASP/MIMIXCMN)</t>
  </si>
  <si>
    <t>b/4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</si>
</sst>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"/>
    <numFmt numFmtId="165" formatCode="_(* #,##0_);_(* \(#,##0\);_(* &quot;-&quot;??_);_(@_)"/>
    <numFmt numFmtId="166" formatCode="[$-409]h:mm\ AM/PM;@"/>
  </numFmts>
  <fonts count="48">
    <font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name val="Arial"/>
      <family val="2"/>
    </font>
    <font>
      <sz val="11"/>
      <color theme="1"/>
      <name val="Trebuchet MS"/>
      <family val="2"/>
    </font>
    <font>
      <b/>
      <u/>
      <sz val="10"/>
      <color theme="1"/>
      <name val="Trebuchet MS"/>
      <family val="2"/>
    </font>
    <font>
      <sz val="9"/>
      <name val="Wingdings"/>
      <charset val="2"/>
    </font>
    <font>
      <sz val="9"/>
      <name val="Trebuchet MS"/>
      <family val="2"/>
    </font>
    <font>
      <sz val="10"/>
      <color rgb="FFFF0000"/>
      <name val="Trebuchet MS"/>
      <family val="2"/>
    </font>
    <font>
      <b/>
      <sz val="11"/>
      <color rgb="FF000000"/>
      <name val="Trebuchet MS"/>
      <family val="2"/>
    </font>
    <font>
      <sz val="11"/>
      <color rgb="FF000000"/>
      <name val="Trebuchet MS"/>
      <family val="2"/>
    </font>
    <font>
      <sz val="11"/>
      <color rgb="FFFF0000"/>
      <name val="Trebuchet MS"/>
      <family val="2"/>
    </font>
    <font>
      <sz val="11"/>
      <color rgb="FF44546A"/>
      <name val="Trebuchet MS"/>
      <family val="2"/>
    </font>
    <font>
      <b/>
      <sz val="11"/>
      <color theme="1"/>
      <name val="Trebuchet MS"/>
      <family val="2"/>
    </font>
    <font>
      <sz val="9"/>
      <name val="Segoe UI Mono"/>
      <family val="3"/>
    </font>
    <font>
      <b/>
      <sz val="9"/>
      <color indexed="8"/>
      <name val="Segoe UI Mono"/>
      <family val="3"/>
    </font>
    <font>
      <b/>
      <sz val="9"/>
      <name val="Segoe UI Mono"/>
      <family val="3"/>
    </font>
    <font>
      <b/>
      <sz val="9"/>
      <color rgb="FFFF0000"/>
      <name val="Segoe UI Mono"/>
      <family val="3"/>
    </font>
    <font>
      <b/>
      <sz val="16"/>
      <color indexed="10"/>
      <name val="Segoe UI"/>
      <family val="2"/>
    </font>
    <font>
      <b/>
      <sz val="16"/>
      <color rgb="FFFF0000"/>
      <name val="Segoe UI"/>
      <family val="2"/>
    </font>
    <font>
      <b/>
      <sz val="16"/>
      <name val="Segoe UI"/>
      <family val="2"/>
    </font>
    <font>
      <sz val="16"/>
      <name val="Segoe UI"/>
      <family val="2"/>
    </font>
    <font>
      <sz val="16"/>
      <color theme="1"/>
      <name val="Segoe UI"/>
      <family val="2"/>
    </font>
    <font>
      <b/>
      <i/>
      <u/>
      <sz val="16"/>
      <color rgb="FFFF0000"/>
      <name val="Segoe UI"/>
      <family val="2"/>
    </font>
    <font>
      <b/>
      <u/>
      <sz val="16"/>
      <name val="Segoe UI"/>
      <family val="2"/>
    </font>
    <font>
      <b/>
      <i/>
      <sz val="16"/>
      <color rgb="FFFF0000"/>
      <name val="Segoe UI"/>
      <family val="2"/>
    </font>
    <font>
      <b/>
      <sz val="16"/>
      <color rgb="FF000000"/>
      <name val="Segoe UI"/>
      <family val="2"/>
    </font>
    <font>
      <b/>
      <sz val="16"/>
      <color theme="1"/>
      <name val="Segoe UI"/>
      <family val="2"/>
    </font>
    <font>
      <b/>
      <sz val="16"/>
      <color indexed="8"/>
      <name val="Segoe UI"/>
      <family val="2"/>
    </font>
    <font>
      <sz val="16"/>
      <color rgb="FFFF0000"/>
      <name val="Segoe UI"/>
      <family val="2"/>
    </font>
    <font>
      <b/>
      <sz val="10"/>
      <color theme="1"/>
      <name val="Trebuchet MS"/>
      <family val="2"/>
    </font>
    <font>
      <b/>
      <sz val="14"/>
      <color rgb="FFFF0000"/>
      <name val="Trebuchet MS"/>
      <family val="2"/>
    </font>
    <font>
      <sz val="14"/>
      <name val="Segoe UI"/>
      <family val="2"/>
    </font>
    <font>
      <b/>
      <sz val="14"/>
      <name val="Segoe UI"/>
      <family val="2"/>
    </font>
    <font>
      <sz val="16"/>
      <color theme="1"/>
      <name val="Courier New"/>
      <family val="3"/>
    </font>
    <font>
      <sz val="16"/>
      <color rgb="FF000000"/>
      <name val="Courier New"/>
      <family val="3"/>
    </font>
    <font>
      <sz val="16"/>
      <name val="Calibri"/>
      <family val="2"/>
    </font>
    <font>
      <sz val="16"/>
      <name val="Trebuchet MS"/>
      <family val="2"/>
    </font>
    <font>
      <b/>
      <sz val="16"/>
      <name val="Trebuchet MS"/>
      <family val="2"/>
    </font>
    <font>
      <b/>
      <sz val="14"/>
      <color rgb="FFFF0000"/>
      <name val="Segoe UI"/>
      <family val="2"/>
    </font>
    <font>
      <u/>
      <sz val="10"/>
      <color theme="10"/>
      <name val="Trebuchet MS"/>
      <family val="2"/>
    </font>
    <font>
      <u/>
      <sz val="36"/>
      <color theme="10"/>
      <name val="Trebuchet MS"/>
      <family val="2"/>
    </font>
    <font>
      <b/>
      <sz val="28"/>
      <color rgb="FFFF0000"/>
      <name val="Segoe UI"/>
      <family val="2"/>
    </font>
    <font>
      <b/>
      <sz val="22"/>
      <color theme="1"/>
      <name val="Segoe UI"/>
      <family val="2"/>
    </font>
    <font>
      <b/>
      <sz val="22"/>
      <name val="Segoe UI"/>
      <family val="2"/>
    </font>
    <font>
      <sz val="11"/>
      <color rgb="FF000000"/>
      <name val="Trebuchet MS"/>
    </font>
    <font>
      <b/>
      <sz val="11"/>
      <color rgb="FF000000"/>
      <name val="Trebuchet MS"/>
    </font>
    <font>
      <b/>
      <sz val="11"/>
      <color rgb="FFFF0000"/>
      <name val="Trebuchet MS"/>
    </font>
    <font>
      <sz val="11"/>
      <color theme="1"/>
      <name val="Trebuchet MS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39" fillId="0" borderId="0" applyNumberFormat="0" applyFill="0" applyBorder="0" applyAlignment="0" applyProtection="0"/>
  </cellStyleXfs>
  <cellXfs count="213">
    <xf numFmtId="0" fontId="0" fillId="0" borderId="0" xfId="0"/>
    <xf numFmtId="0" fontId="3" fillId="0" borderId="0" xfId="0" applyFont="1" applyAlignment="1">
      <alignment vertical="center"/>
    </xf>
    <xf numFmtId="0" fontId="0" fillId="4" borderId="0" xfId="0" applyFill="1"/>
    <xf numFmtId="0" fontId="4" fillId="0" borderId="0" xfId="0" applyFont="1"/>
    <xf numFmtId="0" fontId="4" fillId="3" borderId="0" xfId="0" applyFont="1" applyFill="1"/>
    <xf numFmtId="0" fontId="5" fillId="0" borderId="0" xfId="0" applyFont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7" fillId="0" borderId="0" xfId="0" applyFont="1"/>
    <xf numFmtId="0" fontId="0" fillId="0" borderId="0" xfId="0" applyAlignment="1">
      <alignment wrapText="1"/>
    </xf>
    <xf numFmtId="0" fontId="11" fillId="0" borderId="0" xfId="0" applyFont="1" applyAlignment="1">
      <alignment horizontal="left" vertical="center" indent="4"/>
    </xf>
    <xf numFmtId="0" fontId="3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0" fontId="13" fillId="2" borderId="1" xfId="4" applyFont="1" applyFill="1" applyBorder="1" applyAlignment="1">
      <alignment horizontal="left" wrapText="1"/>
    </xf>
    <xf numFmtId="1" fontId="14" fillId="2" borderId="2" xfId="4" applyNumberFormat="1" applyFont="1" applyFill="1" applyBorder="1" applyAlignment="1">
      <alignment horizontal="center"/>
    </xf>
    <xf numFmtId="1" fontId="15" fillId="2" borderId="1" xfId="4" applyNumberFormat="1" applyFont="1" applyFill="1" applyBorder="1" applyAlignment="1">
      <alignment horizontal="center"/>
    </xf>
    <xf numFmtId="1" fontId="15" fillId="2" borderId="3" xfId="4" applyNumberFormat="1" applyFont="1" applyFill="1" applyBorder="1" applyAlignment="1">
      <alignment horizontal="center"/>
    </xf>
    <xf numFmtId="1" fontId="16" fillId="2" borderId="1" xfId="4" applyNumberFormat="1" applyFont="1" applyFill="1" applyBorder="1" applyAlignment="1">
      <alignment horizontal="center" wrapText="1"/>
    </xf>
    <xf numFmtId="166" fontId="17" fillId="2" borderId="1" xfId="4" applyNumberFormat="1" applyFont="1" applyFill="1" applyBorder="1" applyAlignment="1">
      <alignment horizontal="left"/>
    </xf>
    <xf numFmtId="14" fontId="18" fillId="2" borderId="1" xfId="4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165" fontId="17" fillId="2" borderId="1" xfId="1" applyNumberFormat="1" applyFont="1" applyFill="1" applyBorder="1" applyAlignment="1"/>
    <xf numFmtId="0" fontId="19" fillId="2" borderId="1" xfId="4" applyFont="1" applyFill="1" applyBorder="1" applyAlignment="1">
      <alignment horizontal="center" wrapText="1"/>
    </xf>
    <xf numFmtId="164" fontId="17" fillId="2" borderId="2" xfId="4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3" xfId="4" applyFont="1" applyFill="1" applyBorder="1" applyAlignment="1">
      <alignment horizontal="center"/>
    </xf>
    <xf numFmtId="0" fontId="20" fillId="2" borderId="1" xfId="4" applyFont="1" applyFill="1" applyBorder="1" applyAlignment="1">
      <alignment horizontal="center" wrapText="1"/>
    </xf>
    <xf numFmtId="0" fontId="20" fillId="2" borderId="0" xfId="4" applyFont="1" applyFill="1"/>
    <xf numFmtId="0" fontId="20" fillId="2" borderId="1" xfId="4" applyFont="1" applyFill="1" applyBorder="1"/>
    <xf numFmtId="0" fontId="21" fillId="2" borderId="0" xfId="0" applyFont="1" applyFill="1"/>
    <xf numFmtId="166" fontId="19" fillId="2" borderId="1" xfId="4" applyNumberFormat="1" applyFont="1" applyFill="1" applyBorder="1" applyAlignment="1">
      <alignment horizontal="center"/>
    </xf>
    <xf numFmtId="18" fontId="19" fillId="2" borderId="1" xfId="4" applyNumberFormat="1" applyFont="1" applyFill="1" applyBorder="1" applyAlignment="1">
      <alignment horizontal="center"/>
    </xf>
    <xf numFmtId="165" fontId="19" fillId="2" borderId="1" xfId="1" applyNumberFormat="1" applyFont="1" applyFill="1" applyBorder="1" applyAlignment="1"/>
    <xf numFmtId="0" fontId="19" fillId="2" borderId="2" xfId="4" applyFont="1" applyFill="1" applyBorder="1" applyAlignment="1">
      <alignment horizontal="center"/>
    </xf>
    <xf numFmtId="0" fontId="18" fillId="2" borderId="1" xfId="5" applyFont="1" applyFill="1" applyBorder="1" applyAlignment="1">
      <alignment horizontal="center"/>
    </xf>
    <xf numFmtId="166" fontId="20" fillId="2" borderId="1" xfId="5" applyNumberFormat="1" applyFont="1" applyFill="1" applyBorder="1"/>
    <xf numFmtId="18" fontId="18" fillId="2" borderId="1" xfId="5" applyNumberFormat="1" applyFont="1" applyFill="1" applyBorder="1" applyAlignment="1">
      <alignment horizontal="center"/>
    </xf>
    <xf numFmtId="0" fontId="20" fillId="2" borderId="1" xfId="4" applyFont="1" applyFill="1" applyBorder="1" applyAlignment="1">
      <alignment horizontal="center"/>
    </xf>
    <xf numFmtId="165" fontId="20" fillId="2" borderId="1" xfId="1" applyNumberFormat="1" applyFont="1" applyFill="1" applyBorder="1" applyAlignment="1"/>
    <xf numFmtId="0" fontId="20" fillId="2" borderId="1" xfId="4" applyFont="1" applyFill="1" applyBorder="1" applyAlignment="1">
      <alignment horizontal="left" wrapText="1"/>
    </xf>
    <xf numFmtId="20" fontId="19" fillId="2" borderId="1" xfId="5" applyNumberFormat="1" applyFont="1" applyFill="1" applyBorder="1" applyAlignment="1">
      <alignment horizontal="center"/>
    </xf>
    <xf numFmtId="166" fontId="20" fillId="2" borderId="1" xfId="4" applyNumberFormat="1" applyFont="1" applyFill="1" applyBorder="1" applyAlignment="1">
      <alignment horizontal="center"/>
    </xf>
    <xf numFmtId="0" fontId="20" fillId="2" borderId="1" xfId="4" applyFont="1" applyFill="1" applyBorder="1" applyAlignment="1">
      <alignment horizontal="left" vertical="center" wrapText="1"/>
    </xf>
    <xf numFmtId="0" fontId="18" fillId="2" borderId="1" xfId="4" applyFont="1" applyFill="1" applyBorder="1" applyAlignment="1">
      <alignment horizontal="center" wrapText="1"/>
    </xf>
    <xf numFmtId="0" fontId="21" fillId="0" borderId="1" xfId="0" applyFont="1" applyBorder="1" applyAlignment="1">
      <alignment vertical="center"/>
    </xf>
    <xf numFmtId="166" fontId="21" fillId="5" borderId="0" xfId="0" applyNumberFormat="1" applyFont="1" applyFill="1"/>
    <xf numFmtId="18" fontId="19" fillId="5" borderId="1" xfId="4" applyNumberFormat="1" applyFont="1" applyFill="1" applyBorder="1" applyAlignment="1">
      <alignment horizontal="center"/>
    </xf>
    <xf numFmtId="0" fontId="20" fillId="5" borderId="1" xfId="4" applyFont="1" applyFill="1" applyBorder="1" applyAlignment="1">
      <alignment horizontal="center"/>
    </xf>
    <xf numFmtId="165" fontId="18" fillId="5" borderId="1" xfId="1" applyNumberFormat="1" applyFont="1" applyFill="1" applyBorder="1" applyAlignment="1"/>
    <xf numFmtId="0" fontId="19" fillId="5" borderId="1" xfId="4" applyFont="1" applyFill="1" applyBorder="1" applyAlignment="1">
      <alignment wrapText="1"/>
    </xf>
    <xf numFmtId="0" fontId="19" fillId="5" borderId="2" xfId="4" applyFont="1" applyFill="1" applyBorder="1" applyAlignment="1">
      <alignment horizontal="center"/>
    </xf>
    <xf numFmtId="0" fontId="19" fillId="5" borderId="1" xfId="4" applyFont="1" applyFill="1" applyBorder="1" applyAlignment="1">
      <alignment horizontal="center"/>
    </xf>
    <xf numFmtId="0" fontId="19" fillId="5" borderId="3" xfId="4" applyFont="1" applyFill="1" applyBorder="1" applyAlignment="1">
      <alignment horizontal="center"/>
    </xf>
    <xf numFmtId="0" fontId="20" fillId="5" borderId="1" xfId="4" applyFont="1" applyFill="1" applyBorder="1" applyAlignment="1">
      <alignment horizontal="center" wrapText="1"/>
    </xf>
    <xf numFmtId="165" fontId="18" fillId="2" borderId="1" xfId="1" applyNumberFormat="1" applyFont="1" applyFill="1" applyBorder="1" applyAlignment="1"/>
    <xf numFmtId="0" fontId="20" fillId="2" borderId="1" xfId="4" applyFont="1" applyFill="1" applyBorder="1" applyAlignment="1">
      <alignment wrapText="1"/>
    </xf>
    <xf numFmtId="1" fontId="19" fillId="2" borderId="1" xfId="4" applyNumberFormat="1" applyFont="1" applyFill="1" applyBorder="1" applyAlignment="1">
      <alignment horizontal="center" wrapText="1"/>
    </xf>
    <xf numFmtId="166" fontId="20" fillId="5" borderId="1" xfId="4" applyNumberFormat="1" applyFont="1" applyFill="1" applyBorder="1" applyAlignment="1">
      <alignment horizontal="center"/>
    </xf>
    <xf numFmtId="165" fontId="20" fillId="5" borderId="1" xfId="1" applyNumberFormat="1" applyFont="1" applyFill="1" applyBorder="1" applyAlignment="1"/>
    <xf numFmtId="0" fontId="23" fillId="5" borderId="1" xfId="4" applyFont="1" applyFill="1" applyBorder="1" applyAlignment="1">
      <alignment horizontal="center" wrapText="1"/>
    </xf>
    <xf numFmtId="1" fontId="19" fillId="5" borderId="3" xfId="4" applyNumberFormat="1" applyFont="1" applyFill="1" applyBorder="1" applyAlignment="1">
      <alignment horizontal="center"/>
    </xf>
    <xf numFmtId="1" fontId="19" fillId="5" borderId="1" xfId="4" applyNumberFormat="1" applyFont="1" applyFill="1" applyBorder="1" applyAlignment="1">
      <alignment horizontal="center"/>
    </xf>
    <xf numFmtId="0" fontId="19" fillId="2" borderId="2" xfId="4" applyFont="1" applyFill="1" applyBorder="1" applyAlignment="1">
      <alignment horizontal="center" vertical="center"/>
    </xf>
    <xf numFmtId="1" fontId="19" fillId="2" borderId="3" xfId="4" applyNumberFormat="1" applyFont="1" applyFill="1" applyBorder="1" applyAlignment="1">
      <alignment horizontal="center"/>
    </xf>
    <xf numFmtId="1" fontId="19" fillId="2" borderId="1" xfId="4" applyNumberFormat="1" applyFont="1" applyFill="1" applyBorder="1" applyAlignment="1">
      <alignment horizontal="center"/>
    </xf>
    <xf numFmtId="0" fontId="24" fillId="2" borderId="1" xfId="4" applyFont="1" applyFill="1" applyBorder="1" applyAlignment="1">
      <alignment horizontal="center" wrapText="1"/>
    </xf>
    <xf numFmtId="166" fontId="20" fillId="2" borderId="1" xfId="4" applyNumberFormat="1" applyFont="1" applyFill="1" applyBorder="1" applyAlignment="1">
      <alignment horizontal="right"/>
    </xf>
    <xf numFmtId="166" fontId="20" fillId="5" borderId="1" xfId="4" applyNumberFormat="1" applyFont="1" applyFill="1" applyBorder="1" applyAlignment="1">
      <alignment horizontal="right"/>
    </xf>
    <xf numFmtId="0" fontId="20" fillId="5" borderId="1" xfId="4" applyFont="1" applyFill="1" applyBorder="1" applyAlignment="1">
      <alignment horizontal="left" vertical="center" wrapText="1"/>
    </xf>
    <xf numFmtId="0" fontId="21" fillId="2" borderId="1" xfId="4" applyFont="1" applyFill="1" applyBorder="1" applyAlignment="1">
      <alignment vertical="center" wrapText="1"/>
    </xf>
    <xf numFmtId="0" fontId="21" fillId="2" borderId="1" xfId="0" applyFont="1" applyFill="1" applyBorder="1"/>
    <xf numFmtId="1" fontId="20" fillId="2" borderId="1" xfId="4" applyNumberFormat="1" applyFont="1" applyFill="1" applyBorder="1" applyAlignment="1">
      <alignment horizontal="center" wrapText="1"/>
    </xf>
    <xf numFmtId="0" fontId="19" fillId="5" borderId="1" xfId="4" applyFont="1" applyFill="1" applyBorder="1" applyAlignment="1">
      <alignment horizontal="center" wrapText="1"/>
    </xf>
    <xf numFmtId="0" fontId="21" fillId="5" borderId="1" xfId="0" applyFont="1" applyFill="1" applyBorder="1"/>
    <xf numFmtId="0" fontId="18" fillId="5" borderId="1" xfId="4" applyFont="1" applyFill="1" applyBorder="1" applyAlignment="1">
      <alignment horizontal="center" wrapText="1"/>
    </xf>
    <xf numFmtId="1" fontId="20" fillId="2" borderId="1" xfId="4" quotePrefix="1" applyNumberFormat="1" applyFont="1" applyFill="1" applyBorder="1" applyAlignment="1">
      <alignment horizontal="left" wrapText="1"/>
    </xf>
    <xf numFmtId="166" fontId="24" fillId="2" borderId="1" xfId="4" applyNumberFormat="1" applyFont="1" applyFill="1" applyBorder="1" applyAlignment="1">
      <alignment horizontal="right"/>
    </xf>
    <xf numFmtId="1" fontId="19" fillId="9" borderId="1" xfId="4" quotePrefix="1" applyNumberFormat="1" applyFont="1" applyFill="1" applyBorder="1" applyAlignment="1">
      <alignment horizontal="left" wrapText="1"/>
    </xf>
    <xf numFmtId="1" fontId="19" fillId="2" borderId="1" xfId="4" quotePrefix="1" applyNumberFormat="1" applyFont="1" applyFill="1" applyBorder="1" applyAlignment="1">
      <alignment horizontal="left" wrapText="1"/>
    </xf>
    <xf numFmtId="0" fontId="18" fillId="2" borderId="1" xfId="4" applyFont="1" applyFill="1" applyBorder="1" applyAlignment="1">
      <alignment horizontal="center"/>
    </xf>
    <xf numFmtId="0" fontId="18" fillId="2" borderId="1" xfId="0" applyFont="1" applyFill="1" applyBorder="1" applyAlignment="1">
      <alignment vertical="center"/>
    </xf>
    <xf numFmtId="0" fontId="25" fillId="2" borderId="1" xfId="0" applyFont="1" applyFill="1" applyBorder="1"/>
    <xf numFmtId="0" fontId="26" fillId="2" borderId="1" xfId="0" applyFont="1" applyFill="1" applyBorder="1"/>
    <xf numFmtId="0" fontId="20" fillId="2" borderId="1" xfId="4" applyFont="1" applyFill="1" applyBorder="1" applyAlignment="1">
      <alignment vertical="center" wrapText="1"/>
    </xf>
    <xf numFmtId="1" fontId="20" fillId="2" borderId="1" xfId="4" applyNumberFormat="1" applyFont="1" applyFill="1" applyBorder="1" applyAlignment="1">
      <alignment horizontal="center" vertical="top" wrapText="1"/>
    </xf>
    <xf numFmtId="166" fontId="20" fillId="7" borderId="1" xfId="4" applyNumberFormat="1" applyFont="1" applyFill="1" applyBorder="1" applyAlignment="1">
      <alignment horizontal="right"/>
    </xf>
    <xf numFmtId="18" fontId="19" fillId="7" borderId="1" xfId="4" applyNumberFormat="1" applyFont="1" applyFill="1" applyBorder="1" applyAlignment="1">
      <alignment horizontal="center"/>
    </xf>
    <xf numFmtId="0" fontId="20" fillId="7" borderId="1" xfId="4" applyFont="1" applyFill="1" applyBorder="1" applyAlignment="1">
      <alignment horizontal="center"/>
    </xf>
    <xf numFmtId="165" fontId="20" fillId="7" borderId="1" xfId="1" applyNumberFormat="1" applyFont="1" applyFill="1" applyBorder="1" applyAlignment="1"/>
    <xf numFmtId="0" fontId="19" fillId="7" borderId="2" xfId="4" applyFont="1" applyFill="1" applyBorder="1" applyAlignment="1">
      <alignment horizontal="center"/>
    </xf>
    <xf numFmtId="0" fontId="21" fillId="7" borderId="1" xfId="0" applyFont="1" applyFill="1" applyBorder="1"/>
    <xf numFmtId="0" fontId="19" fillId="7" borderId="3" xfId="4" applyFont="1" applyFill="1" applyBorder="1" applyAlignment="1">
      <alignment horizontal="center"/>
    </xf>
    <xf numFmtId="1" fontId="19" fillId="7" borderId="1" xfId="4" applyNumberFormat="1" applyFont="1" applyFill="1" applyBorder="1" applyAlignment="1">
      <alignment horizontal="center"/>
    </xf>
    <xf numFmtId="0" fontId="20" fillId="7" borderId="1" xfId="4" applyFont="1" applyFill="1" applyBorder="1" applyAlignment="1">
      <alignment horizontal="center" wrapText="1"/>
    </xf>
    <xf numFmtId="0" fontId="20" fillId="7" borderId="1" xfId="4" applyFont="1" applyFill="1" applyBorder="1" applyAlignment="1">
      <alignment horizontal="left" wrapText="1"/>
    </xf>
    <xf numFmtId="18" fontId="19" fillId="8" borderId="1" xfId="4" applyNumberFormat="1" applyFont="1" applyFill="1" applyBorder="1" applyAlignment="1">
      <alignment horizontal="center"/>
    </xf>
    <xf numFmtId="0" fontId="20" fillId="8" borderId="1" xfId="4" applyFont="1" applyFill="1" applyBorder="1" applyAlignment="1">
      <alignment horizontal="center"/>
    </xf>
    <xf numFmtId="165" fontId="20" fillId="8" borderId="1" xfId="1" applyNumberFormat="1" applyFont="1" applyFill="1" applyBorder="1" applyAlignment="1"/>
    <xf numFmtId="0" fontId="19" fillId="8" borderId="1" xfId="4" applyFont="1" applyFill="1" applyBorder="1" applyAlignment="1">
      <alignment horizontal="left" wrapText="1"/>
    </xf>
    <xf numFmtId="1" fontId="19" fillId="8" borderId="3" xfId="4" applyNumberFormat="1" applyFont="1" applyFill="1" applyBorder="1" applyAlignment="1">
      <alignment horizontal="center"/>
    </xf>
    <xf numFmtId="1" fontId="19" fillId="8" borderId="1" xfId="4" applyNumberFormat="1" applyFont="1" applyFill="1" applyBorder="1" applyAlignment="1">
      <alignment horizontal="center"/>
    </xf>
    <xf numFmtId="1" fontId="27" fillId="5" borderId="2" xfId="4" applyNumberFormat="1" applyFont="1" applyFill="1" applyBorder="1" applyAlignment="1">
      <alignment horizontal="center"/>
    </xf>
    <xf numFmtId="1" fontId="19" fillId="5" borderId="1" xfId="4" applyNumberFormat="1" applyFont="1" applyFill="1" applyBorder="1" applyAlignment="1">
      <alignment horizontal="center" wrapText="1"/>
    </xf>
    <xf numFmtId="166" fontId="20" fillId="6" borderId="1" xfId="4" applyNumberFormat="1" applyFont="1" applyFill="1" applyBorder="1" applyAlignment="1">
      <alignment horizontal="center"/>
    </xf>
    <xf numFmtId="18" fontId="19" fillId="6" borderId="1" xfId="4" applyNumberFormat="1" applyFont="1" applyFill="1" applyBorder="1" applyAlignment="1">
      <alignment horizontal="center"/>
    </xf>
    <xf numFmtId="0" fontId="20" fillId="6" borderId="1" xfId="4" applyFont="1" applyFill="1" applyBorder="1" applyAlignment="1">
      <alignment horizontal="center"/>
    </xf>
    <xf numFmtId="165" fontId="20" fillId="6" borderId="1" xfId="1" applyNumberFormat="1" applyFont="1" applyFill="1" applyBorder="1" applyAlignment="1"/>
    <xf numFmtId="0" fontId="19" fillId="6" borderId="1" xfId="4" applyFont="1" applyFill="1" applyBorder="1" applyAlignment="1">
      <alignment horizontal="left" wrapText="1"/>
    </xf>
    <xf numFmtId="1" fontId="27" fillId="6" borderId="2" xfId="4" applyNumberFormat="1" applyFont="1" applyFill="1" applyBorder="1" applyAlignment="1">
      <alignment horizontal="center"/>
    </xf>
    <xf numFmtId="0" fontId="19" fillId="6" borderId="1" xfId="4" applyFont="1" applyFill="1" applyBorder="1" applyAlignment="1">
      <alignment horizontal="center"/>
    </xf>
    <xf numFmtId="1" fontId="19" fillId="6" borderId="3" xfId="4" applyNumberFormat="1" applyFont="1" applyFill="1" applyBorder="1" applyAlignment="1">
      <alignment horizontal="center"/>
    </xf>
    <xf numFmtId="1" fontId="19" fillId="6" borderId="1" xfId="4" applyNumberFormat="1" applyFont="1" applyFill="1" applyBorder="1" applyAlignment="1">
      <alignment horizontal="center"/>
    </xf>
    <xf numFmtId="1" fontId="19" fillId="6" borderId="1" xfId="4" applyNumberFormat="1" applyFont="1" applyFill="1" applyBorder="1" applyAlignment="1">
      <alignment horizontal="center" wrapText="1"/>
    </xf>
    <xf numFmtId="0" fontId="20" fillId="6" borderId="1" xfId="4" applyFont="1" applyFill="1" applyBorder="1" applyAlignment="1">
      <alignment horizontal="left" wrapText="1"/>
    </xf>
    <xf numFmtId="1" fontId="27" fillId="2" borderId="2" xfId="4" applyNumberFormat="1" applyFont="1" applyFill="1" applyBorder="1" applyAlignment="1">
      <alignment horizontal="center"/>
    </xf>
    <xf numFmtId="0" fontId="28" fillId="2" borderId="1" xfId="4" applyFont="1" applyFill="1" applyBorder="1" applyAlignment="1">
      <alignment horizontal="left" wrapText="1"/>
    </xf>
    <xf numFmtId="1" fontId="18" fillId="2" borderId="1" xfId="4" applyNumberFormat="1" applyFont="1" applyFill="1" applyBorder="1" applyAlignment="1">
      <alignment horizontal="center" wrapText="1"/>
    </xf>
    <xf numFmtId="18" fontId="19" fillId="2" borderId="1" xfId="5" applyNumberFormat="1" applyFont="1" applyFill="1" applyBorder="1" applyAlignment="1">
      <alignment horizontal="center"/>
    </xf>
    <xf numFmtId="1" fontId="19" fillId="2" borderId="2" xfId="4" applyNumberFormat="1" applyFont="1" applyFill="1" applyBorder="1" applyAlignment="1">
      <alignment horizontal="center"/>
    </xf>
    <xf numFmtId="166" fontId="20" fillId="2" borderId="4" xfId="4" applyNumberFormat="1" applyFont="1" applyFill="1" applyBorder="1" applyAlignment="1">
      <alignment horizontal="center"/>
    </xf>
    <xf numFmtId="18" fontId="19" fillId="2" borderId="4" xfId="4" applyNumberFormat="1" applyFont="1" applyFill="1" applyBorder="1" applyAlignment="1">
      <alignment horizontal="center"/>
    </xf>
    <xf numFmtId="0" fontId="20" fillId="2" borderId="4" xfId="4" applyFont="1" applyFill="1" applyBorder="1" applyAlignment="1">
      <alignment horizontal="center"/>
    </xf>
    <xf numFmtId="0" fontId="20" fillId="2" borderId="4" xfId="4" applyFont="1" applyFill="1" applyBorder="1" applyAlignment="1">
      <alignment wrapText="1"/>
    </xf>
    <xf numFmtId="1" fontId="19" fillId="2" borderId="5" xfId="4" applyNumberFormat="1" applyFont="1" applyFill="1" applyBorder="1" applyAlignment="1">
      <alignment horizontal="center"/>
    </xf>
    <xf numFmtId="0" fontId="21" fillId="2" borderId="4" xfId="0" applyFont="1" applyFill="1" applyBorder="1"/>
    <xf numFmtId="1" fontId="19" fillId="2" borderId="4" xfId="4" applyNumberFormat="1" applyFont="1" applyFill="1" applyBorder="1" applyAlignment="1">
      <alignment horizontal="center"/>
    </xf>
    <xf numFmtId="1" fontId="18" fillId="2" borderId="4" xfId="4" applyNumberFormat="1" applyFont="1" applyFill="1" applyBorder="1" applyAlignment="1">
      <alignment horizontal="center" wrapText="1"/>
    </xf>
    <xf numFmtId="166" fontId="21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wrapText="1"/>
    </xf>
    <xf numFmtId="166" fontId="21" fillId="2" borderId="0" xfId="0" applyNumberFormat="1" applyFont="1" applyFill="1"/>
    <xf numFmtId="0" fontId="19" fillId="2" borderId="0" xfId="0" applyFont="1" applyFill="1" applyAlignment="1">
      <alignment horizontal="center"/>
    </xf>
    <xf numFmtId="0" fontId="21" fillId="2" borderId="0" xfId="0" applyFont="1" applyFill="1" applyAlignment="1">
      <alignment wrapText="1"/>
    </xf>
    <xf numFmtId="0" fontId="29" fillId="0" borderId="0" xfId="0" applyFont="1"/>
    <xf numFmtId="0" fontId="30" fillId="0" borderId="0" xfId="0" applyFont="1"/>
    <xf numFmtId="166" fontId="28" fillId="2" borderId="3" xfId="4" applyNumberFormat="1" applyFont="1" applyFill="1" applyBorder="1" applyAlignment="1">
      <alignment horizontal="center"/>
    </xf>
    <xf numFmtId="18" fontId="28" fillId="2" borderId="1" xfId="4" applyNumberFormat="1" applyFont="1" applyFill="1" applyBorder="1" applyAlignment="1">
      <alignment horizontal="center" vertical="center"/>
    </xf>
    <xf numFmtId="166" fontId="28" fillId="2" borderId="3" xfId="5" applyNumberFormat="1" applyFont="1" applyFill="1" applyBorder="1"/>
    <xf numFmtId="0" fontId="28" fillId="2" borderId="1" xfId="5" applyFont="1" applyFill="1" applyBorder="1" applyAlignment="1">
      <alignment horizontal="center"/>
    </xf>
    <xf numFmtId="0" fontId="31" fillId="2" borderId="1" xfId="4" applyFont="1" applyFill="1" applyBorder="1" applyAlignment="1">
      <alignment wrapText="1"/>
    </xf>
    <xf numFmtId="0" fontId="33" fillId="0" borderId="0" xfId="0" applyFont="1" applyAlignment="1">
      <alignment vertical="center"/>
    </xf>
    <xf numFmtId="166" fontId="20" fillId="10" borderId="1" xfId="4" applyNumberFormat="1" applyFont="1" applyFill="1" applyBorder="1" applyAlignment="1">
      <alignment horizontal="center"/>
    </xf>
    <xf numFmtId="18" fontId="19" fillId="10" borderId="1" xfId="4" applyNumberFormat="1" applyFont="1" applyFill="1" applyBorder="1" applyAlignment="1">
      <alignment horizontal="center"/>
    </xf>
    <xf numFmtId="0" fontId="18" fillId="10" borderId="1" xfId="4" applyFont="1" applyFill="1" applyBorder="1" applyAlignment="1">
      <alignment horizontal="center" wrapText="1"/>
    </xf>
    <xf numFmtId="0" fontId="20" fillId="10" borderId="1" xfId="4" applyFont="1" applyFill="1" applyBorder="1" applyAlignment="1">
      <alignment horizontal="left" wrapText="1"/>
    </xf>
    <xf numFmtId="1" fontId="27" fillId="10" borderId="2" xfId="4" applyNumberFormat="1" applyFont="1" applyFill="1" applyBorder="1" applyAlignment="1">
      <alignment horizontal="center"/>
    </xf>
    <xf numFmtId="0" fontId="21" fillId="10" borderId="1" xfId="0" applyFont="1" applyFill="1" applyBorder="1"/>
    <xf numFmtId="1" fontId="19" fillId="10" borderId="1" xfId="4" applyNumberFormat="1" applyFont="1" applyFill="1" applyBorder="1" applyAlignment="1">
      <alignment horizontal="center"/>
    </xf>
    <xf numFmtId="1" fontId="19" fillId="10" borderId="1" xfId="4" applyNumberFormat="1" applyFont="1" applyFill="1" applyBorder="1" applyAlignment="1">
      <alignment horizontal="center" wrapText="1"/>
    </xf>
    <xf numFmtId="0" fontId="20" fillId="10" borderId="0" xfId="4" applyFont="1" applyFill="1"/>
    <xf numFmtId="0" fontId="21" fillId="10" borderId="0" xfId="0" applyFont="1" applyFill="1"/>
    <xf numFmtId="166" fontId="20" fillId="8" borderId="1" xfId="4" applyNumberFormat="1" applyFont="1" applyFill="1" applyBorder="1" applyAlignment="1">
      <alignment horizontal="center"/>
    </xf>
    <xf numFmtId="1" fontId="27" fillId="8" borderId="2" xfId="4" applyNumberFormat="1" applyFont="1" applyFill="1" applyBorder="1" applyAlignment="1">
      <alignment horizontal="center"/>
    </xf>
    <xf numFmtId="1" fontId="19" fillId="8" borderId="1" xfId="4" applyNumberFormat="1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/>
    </xf>
    <xf numFmtId="0" fontId="26" fillId="2" borderId="1" xfId="0" applyFont="1" applyFill="1" applyBorder="1" applyAlignment="1">
      <alignment wrapText="1"/>
    </xf>
    <xf numFmtId="0" fontId="26" fillId="2" borderId="1" xfId="0" applyFont="1" applyFill="1" applyBorder="1" applyAlignment="1">
      <alignment horizontal="center"/>
    </xf>
    <xf numFmtId="0" fontId="19" fillId="2" borderId="1" xfId="0" applyFont="1" applyFill="1" applyBorder="1"/>
    <xf numFmtId="0" fontId="35" fillId="0" borderId="1" xfId="0" applyFont="1" applyBorder="1"/>
    <xf numFmtId="20" fontId="19" fillId="2" borderId="1" xfId="0" applyNumberFormat="1" applyFont="1" applyFill="1" applyBorder="1" applyAlignment="1">
      <alignment horizontal="center"/>
    </xf>
    <xf numFmtId="0" fontId="19" fillId="5" borderId="1" xfId="4" applyFont="1" applyFill="1" applyBorder="1" applyAlignment="1">
      <alignment horizontal="left" wrapText="1"/>
    </xf>
    <xf numFmtId="1" fontId="20" fillId="2" borderId="1" xfId="4" applyNumberFormat="1" applyFont="1" applyFill="1" applyBorder="1" applyAlignment="1">
      <alignment horizontal="left" wrapText="1"/>
    </xf>
    <xf numFmtId="166" fontId="20" fillId="9" borderId="1" xfId="4" applyNumberFormat="1" applyFont="1" applyFill="1" applyBorder="1" applyAlignment="1">
      <alignment horizontal="right"/>
    </xf>
    <xf numFmtId="18" fontId="19" fillId="9" borderId="1" xfId="4" applyNumberFormat="1" applyFont="1" applyFill="1" applyBorder="1" applyAlignment="1">
      <alignment horizontal="center"/>
    </xf>
    <xf numFmtId="0" fontId="20" fillId="9" borderId="1" xfId="4" applyFont="1" applyFill="1" applyBorder="1" applyAlignment="1">
      <alignment horizontal="center"/>
    </xf>
    <xf numFmtId="165" fontId="20" fillId="9" borderId="1" xfId="1" applyNumberFormat="1" applyFont="1" applyFill="1" applyBorder="1" applyAlignment="1"/>
    <xf numFmtId="0" fontId="19" fillId="9" borderId="2" xfId="4" applyFont="1" applyFill="1" applyBorder="1" applyAlignment="1">
      <alignment horizontal="center"/>
    </xf>
    <xf numFmtId="0" fontId="21" fillId="9" borderId="1" xfId="0" applyFont="1" applyFill="1" applyBorder="1"/>
    <xf numFmtId="0" fontId="19" fillId="9" borderId="3" xfId="4" applyFont="1" applyFill="1" applyBorder="1" applyAlignment="1">
      <alignment horizontal="center"/>
    </xf>
    <xf numFmtId="1" fontId="19" fillId="9" borderId="1" xfId="4" applyNumberFormat="1" applyFont="1" applyFill="1" applyBorder="1" applyAlignment="1">
      <alignment horizontal="center"/>
    </xf>
    <xf numFmtId="0" fontId="20" fillId="9" borderId="1" xfId="4" applyFont="1" applyFill="1" applyBorder="1" applyAlignment="1">
      <alignment horizontal="center" wrapText="1"/>
    </xf>
    <xf numFmtId="0" fontId="19" fillId="9" borderId="1" xfId="4" applyFont="1" applyFill="1" applyBorder="1" applyAlignment="1">
      <alignment horizontal="left" wrapText="1"/>
    </xf>
    <xf numFmtId="0" fontId="19" fillId="9" borderId="1" xfId="4" applyFont="1" applyFill="1" applyBorder="1" applyAlignment="1">
      <alignment horizontal="center"/>
    </xf>
    <xf numFmtId="1" fontId="19" fillId="9" borderId="3" xfId="4" applyNumberFormat="1" applyFont="1" applyFill="1" applyBorder="1" applyAlignment="1">
      <alignment horizontal="center"/>
    </xf>
    <xf numFmtId="165" fontId="20" fillId="10" borderId="1" xfId="1" applyNumberFormat="1" applyFont="1" applyFill="1" applyBorder="1" applyAlignment="1"/>
    <xf numFmtId="0" fontId="19" fillId="7" borderId="1" xfId="4" applyFont="1" applyFill="1" applyBorder="1" applyAlignment="1">
      <alignment horizontal="center"/>
    </xf>
    <xf numFmtId="1" fontId="19" fillId="7" borderId="3" xfId="4" applyNumberFormat="1" applyFont="1" applyFill="1" applyBorder="1" applyAlignment="1">
      <alignment horizontal="center"/>
    </xf>
    <xf numFmtId="0" fontId="36" fillId="2" borderId="1" xfId="4" applyFont="1" applyFill="1" applyBorder="1" applyAlignment="1">
      <alignment horizontal="left" wrapText="1"/>
    </xf>
    <xf numFmtId="0" fontId="26" fillId="2" borderId="1" xfId="4" applyFont="1" applyFill="1" applyBorder="1" applyAlignment="1">
      <alignment vertical="center" wrapText="1"/>
    </xf>
    <xf numFmtId="0" fontId="37" fillId="9" borderId="6" xfId="4" applyFont="1" applyFill="1" applyBorder="1" applyAlignment="1">
      <alignment horizontal="center" wrapText="1"/>
    </xf>
    <xf numFmtId="0" fontId="18" fillId="8" borderId="1" xfId="4" applyFont="1" applyFill="1" applyBorder="1" applyAlignment="1">
      <alignment horizontal="left" wrapText="1"/>
    </xf>
    <xf numFmtId="0" fontId="28" fillId="2" borderId="1" xfId="4" applyFont="1" applyFill="1" applyBorder="1" applyAlignment="1">
      <alignment horizontal="center" wrapText="1"/>
    </xf>
    <xf numFmtId="0" fontId="8" fillId="0" borderId="0" xfId="0" applyFont="1" applyAlignment="1">
      <alignment horizontal="center" vertical="top"/>
    </xf>
    <xf numFmtId="0" fontId="40" fillId="2" borderId="1" xfId="6" applyFont="1" applyFill="1" applyBorder="1" applyAlignment="1">
      <alignment horizontal="left" wrapText="1"/>
    </xf>
    <xf numFmtId="0" fontId="41" fillId="2" borderId="1" xfId="4" applyFont="1" applyFill="1" applyBorder="1" applyAlignment="1">
      <alignment horizontal="center" wrapText="1"/>
    </xf>
    <xf numFmtId="18" fontId="19" fillId="11" borderId="1" xfId="4" applyNumberFormat="1" applyFont="1" applyFill="1" applyBorder="1" applyAlignment="1">
      <alignment horizontal="center"/>
    </xf>
    <xf numFmtId="0" fontId="20" fillId="11" borderId="1" xfId="4" applyFont="1" applyFill="1" applyBorder="1" applyAlignment="1">
      <alignment horizontal="center"/>
    </xf>
    <xf numFmtId="165" fontId="18" fillId="11" borderId="1" xfId="1" applyNumberFormat="1" applyFont="1" applyFill="1" applyBorder="1" applyAlignment="1"/>
    <xf numFmtId="0" fontId="28" fillId="11" borderId="1" xfId="4" applyFont="1" applyFill="1" applyBorder="1" applyAlignment="1">
      <alignment wrapText="1"/>
    </xf>
    <xf numFmtId="0" fontId="19" fillId="11" borderId="2" xfId="4" applyFont="1" applyFill="1" applyBorder="1" applyAlignment="1">
      <alignment horizontal="center"/>
    </xf>
    <xf numFmtId="0" fontId="18" fillId="11" borderId="1" xfId="4" applyFont="1" applyFill="1" applyBorder="1" applyAlignment="1">
      <alignment horizontal="center"/>
    </xf>
    <xf numFmtId="0" fontId="19" fillId="11" borderId="3" xfId="4" applyFont="1" applyFill="1" applyBorder="1" applyAlignment="1">
      <alignment horizontal="center"/>
    </xf>
    <xf numFmtId="0" fontId="19" fillId="11" borderId="1" xfId="4" applyFont="1" applyFill="1" applyBorder="1" applyAlignment="1">
      <alignment horizontal="center"/>
    </xf>
    <xf numFmtId="1" fontId="19" fillId="11" borderId="1" xfId="4" applyNumberFormat="1" applyFont="1" applyFill="1" applyBorder="1" applyAlignment="1">
      <alignment horizontal="center" wrapText="1"/>
    </xf>
    <xf numFmtId="0" fontId="20" fillId="11" borderId="1" xfId="4" applyFont="1" applyFill="1" applyBorder="1" applyAlignment="1">
      <alignment wrapText="1"/>
    </xf>
    <xf numFmtId="18" fontId="19" fillId="12" borderId="1" xfId="4" applyNumberFormat="1" applyFont="1" applyFill="1" applyBorder="1" applyAlignment="1">
      <alignment horizontal="center"/>
    </xf>
    <xf numFmtId="0" fontId="20" fillId="12" borderId="1" xfId="4" applyFont="1" applyFill="1" applyBorder="1" applyAlignment="1">
      <alignment horizontal="center"/>
    </xf>
    <xf numFmtId="165" fontId="18" fillId="12" borderId="1" xfId="1" applyNumberFormat="1" applyFont="1" applyFill="1" applyBorder="1" applyAlignment="1"/>
    <xf numFmtId="0" fontId="28" fillId="12" borderId="1" xfId="4" applyFont="1" applyFill="1" applyBorder="1" applyAlignment="1">
      <alignment wrapText="1"/>
    </xf>
    <xf numFmtId="0" fontId="19" fillId="12" borderId="2" xfId="4" applyFont="1" applyFill="1" applyBorder="1" applyAlignment="1">
      <alignment horizontal="center"/>
    </xf>
    <xf numFmtId="0" fontId="19" fillId="12" borderId="1" xfId="4" applyFont="1" applyFill="1" applyBorder="1" applyAlignment="1">
      <alignment horizontal="center"/>
    </xf>
    <xf numFmtId="0" fontId="18" fillId="12" borderId="3" xfId="4" applyFont="1" applyFill="1" applyBorder="1" applyAlignment="1">
      <alignment horizontal="center"/>
    </xf>
    <xf numFmtId="1" fontId="19" fillId="12" borderId="1" xfId="4" applyNumberFormat="1" applyFont="1" applyFill="1" applyBorder="1" applyAlignment="1">
      <alignment horizontal="center" wrapText="1"/>
    </xf>
    <xf numFmtId="0" fontId="20" fillId="12" borderId="1" xfId="4" applyFont="1" applyFill="1" applyBorder="1" applyAlignment="1">
      <alignment wrapText="1"/>
    </xf>
    <xf numFmtId="0" fontId="19" fillId="12" borderId="3" xfId="4" applyFont="1" applyFill="1" applyBorder="1" applyAlignment="1">
      <alignment horizontal="center"/>
    </xf>
    <xf numFmtId="0" fontId="42" fillId="2" borderId="1" xfId="0" applyFont="1" applyFill="1" applyBorder="1"/>
    <xf numFmtId="0" fontId="26" fillId="9" borderId="1" xfId="0" applyFont="1" applyFill="1" applyBorder="1" applyAlignment="1">
      <alignment horizontal="center"/>
    </xf>
    <xf numFmtId="1" fontId="18" fillId="8" borderId="1" xfId="4" applyNumberFormat="1" applyFont="1" applyFill="1" applyBorder="1" applyAlignment="1">
      <alignment horizontal="center" wrapText="1"/>
    </xf>
    <xf numFmtId="0" fontId="43" fillId="2" borderId="1" xfId="4" applyFont="1" applyFill="1" applyBorder="1" applyAlignment="1">
      <alignment horizontal="center" wrapText="1"/>
    </xf>
    <xf numFmtId="1" fontId="20" fillId="2" borderId="4" xfId="4" quotePrefix="1" applyNumberFormat="1" applyFont="1" applyFill="1" applyBorder="1" applyAlignment="1">
      <alignment horizontal="left" wrapText="1"/>
    </xf>
    <xf numFmtId="0" fontId="19" fillId="2" borderId="5" xfId="4" applyFont="1" applyFill="1" applyBorder="1" applyAlignment="1">
      <alignment horizontal="center"/>
    </xf>
    <xf numFmtId="0" fontId="19" fillId="2" borderId="7" xfId="4" applyFont="1" applyFill="1" applyBorder="1" applyAlignment="1">
      <alignment horizontal="center"/>
    </xf>
    <xf numFmtId="0" fontId="47" fillId="0" borderId="0" xfId="0" applyFont="1" applyAlignment="1">
      <alignment vertical="center"/>
    </xf>
  </cellXfs>
  <cellStyles count="7">
    <cellStyle name="Comma" xfId="1" builtinId="3"/>
    <cellStyle name="Comma 2" xfId="3" xr:uid="{00000000-0005-0000-0000-000001000000}"/>
    <cellStyle name="Hyperlink" xfId="6" builtinId="8"/>
    <cellStyle name="Normal" xfId="0" builtinId="0"/>
    <cellStyle name="Normal 2" xfId="2" xr:uid="{00000000-0005-0000-0000-000003000000}"/>
    <cellStyle name="Normal_Sheet1" xfId="4" xr:uid="{00000000-0005-0000-0000-000004000000}"/>
    <cellStyle name="Normal_Sheet1_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iSeries!$J$66:$J$128</c:f>
              <c:strCache>
                <c:ptCount val="63"/>
                <c:pt idx="0">
                  <c:v>login as mlengbr2</c:v>
                </c:pt>
                <c:pt idx="1">
                  <c:v>rbtsyslib/rslshutdwn</c:v>
                </c:pt>
                <c:pt idx="2">
                  <c:v>same system name</c:v>
                </c:pt>
                <c:pt idx="3">
                  <c:v>DSS/C</c:v>
                </c:pt>
                <c:pt idx="4">
                  <c:v>DSS/C</c:v>
                </c:pt>
                <c:pt idx="5">
                  <c:v>DSS/C</c:v>
                </c:pt>
                <c:pt idx="6">
                  <c:v>DSS/C</c:v>
                </c:pt>
                <c:pt idx="7">
                  <c:v>F15 Postion To</c:v>
                </c:pt>
                <c:pt idx="8">
                  <c:v>RMVTCPHTE INTNETADR('10.7.1.230')</c:v>
                </c:pt>
                <c:pt idx="9">
                  <c:v>RMVTCPHTE INTNETADR('10.7.1.163')</c:v>
                </c:pt>
                <c:pt idx="10">
                  <c:v>ADDTCPHTE INTNETADR('10.7.1.163') HOSTNAME((PRODDSS) (PRODDSS.APPN.SNA.IBM.COM) (RODS) (MSDSS) (MXVPRDSS) (BRMSDSS))</c:v>
                </c:pt>
                <c:pt idx="11">
                  <c:v>ADDTCPHTE INTNETADR('10.7.1.230') HOSTNAME((BRMSDSS))</c:v>
                </c:pt>
                <c:pt idx="12">
                  <c:v>F15 Postion To</c:v>
                </c:pt>
                <c:pt idx="13">
                  <c:v>RMVTCPHTE INTNETADR('10.7.1.230')</c:v>
                </c:pt>
                <c:pt idx="14">
                  <c:v>RMVTCPHTE INTNETADR('10.7.1.163')</c:v>
                </c:pt>
                <c:pt idx="15">
                  <c:v>ADDTCPHTE INTNETADR('10.7.1.163') HOSTNAME((PRODDSS) (PRODDSS.APPN.SNA.IBM.COM) (RODS) (MSDSS) (MXVPRDSS) )</c:v>
                </c:pt>
                <c:pt idx="16">
                  <c:v>ADDTCPHTE INTNETADR('10.7.1.230') HOSTNAME((BRMSDSS))</c:v>
                </c:pt>
                <c:pt idx="17">
                  <c:v>F15 Postion To</c:v>
                </c:pt>
                <c:pt idx="18">
                  <c:v>RMVTCPHTE INTNETADR('10.7.1.230')</c:v>
                </c:pt>
                <c:pt idx="19">
                  <c:v>RMVTCPHTE INTNETADR('10.7.1.163')</c:v>
                </c:pt>
                <c:pt idx="20">
                  <c:v>ADDTCPHTE INTNETADR('10.7.1.163') HOSTNAME((PRODDSS) (PRODDSS.APPN.SNA.IBM.COM) (RODS) (MSDSS) (MXVPDSS) (BRMSDSS))</c:v>
                </c:pt>
                <c:pt idx="21">
                  <c:v>ADDTCPHTE INTNETADR('10.7.1.230') HOSTNAME((BRMSDSS))</c:v>
                </c:pt>
                <c:pt idx="22">
                  <c:v>F15 Postion To</c:v>
                </c:pt>
                <c:pt idx="23">
                  <c:v>RMVTCPHTE INTNETADR('10.7.1.230')</c:v>
                </c:pt>
                <c:pt idx="24">
                  <c:v>RMVTCPHTE INTNETADR('10.7.1.163')</c:v>
                </c:pt>
                <c:pt idx="25">
                  <c:v>ADDTCPHTE INTNETADR('10.7.1.163') HOSTNAME((PRODDSS) (PRODDSS.APPN.SNA.IBM.COM) (RODS) (MSDSS) (MXVPDSS) (BRMSDSS))</c:v>
                </c:pt>
                <c:pt idx="26">
                  <c:v>ADDTCPHTE INTNETADR('10.7.1.230') HOSTNAME((BRMSDSS))</c:v>
                </c:pt>
                <c:pt idx="27">
                  <c:v>F15 Postion To</c:v>
                </c:pt>
                <c:pt idx="28">
                  <c:v>RMVTCPHTE INTNETADR('10.7.1.230')</c:v>
                </c:pt>
                <c:pt idx="29">
                  <c:v>RMVTCPHTE INTNETADR('10.7.1.163')</c:v>
                </c:pt>
                <c:pt idx="30">
                  <c:v>ADDTCPHTE INTNETADR('10.7.1.163') HOSTNAME((PRODDSS) (PRODDSS.APPN.SNA.IBM.COM) (RODSVRT) (BRMSDSS))</c:v>
                </c:pt>
                <c:pt idx="31">
                  <c:v>ADDTCPHTE INTNETADR('10.7.1.230') HOSTNAME((BRMSDSS))</c:v>
                </c:pt>
                <c:pt idx="32">
                  <c:v>F15 Postion To</c:v>
                </c:pt>
                <c:pt idx="33">
                  <c:v>RMVTCPHTE INTNETADR('10.7.1.230')</c:v>
                </c:pt>
                <c:pt idx="34">
                  <c:v>RMVTCPHTE INTNETADR('10.7.1.163')</c:v>
                </c:pt>
                <c:pt idx="35">
                  <c:v>ADDTCPHTE INTNETADR('10.7.1.163') HOSTNAME((PRODDSS) (PRODDSS.APPN.SNA.IBM.COM) (RODSVRT) (BRMSDSS))</c:v>
                </c:pt>
                <c:pt idx="36">
                  <c:v>ADDTCPHTE INTNETADR('10.7.1.230') HOSTNAME((BRMSDSS))</c:v>
                </c:pt>
                <c:pt idx="37">
                  <c:v>Turn Over To Teams for Testing</c:v>
                </c:pt>
                <c:pt idx="38">
                  <c:v>See Tab 1 for List of Testers</c:v>
                </c:pt>
                <c:pt idx="39">
                  <c:v>Compare counts prior to starting MIMIX</c:v>
                </c:pt>
                <c:pt idx="40">
                  <c:v>DSS/C</c:v>
                </c:pt>
                <c:pt idx="41">
                  <c:v>START MIMIX REPLICATION BETWEEN PRODE/PROD TO PRODDSS/HA</c:v>
                </c:pt>
                <c:pt idx="42">
                  <c:v>before on prode to proddsst</c:v>
                </c:pt>
                <c:pt idx="43">
                  <c:v>dssiasp/prode&amp;proddss;proddss/proda&amp;proddssha</c:v>
                </c:pt>
                <c:pt idx="44">
                  <c:v>RDB* from DSSIASP to PRODDSS/name of the IASP in wrkrb*/*LOOPBACK  is the Relational Database</c:v>
                </c:pt>
                <c:pt idx="45">
                  <c:v>PA</c:v>
                </c:pt>
                <c:pt idx="46">
                  <c:v>Should only have 1 port active AND  10.7.1.169 S/B *inactive</c:v>
                </c:pt>
                <c:pt idx="47">
                  <c:v>Make sure both ports are active</c:v>
                </c:pt>
                <c:pt idx="48">
                  <c:v>RUN IF PORT WILL NOT START</c:v>
                </c:pt>
                <c:pt idx="49">
                  <c:v>starts communication</c:v>
                </c:pt>
                <c:pt idx="50">
                  <c:v>PE</c:v>
                </c:pt>
                <c:pt idx="51">
                  <c:v>PE</c:v>
                </c:pt>
                <c:pt idx="52">
                  <c:v>DSS/C</c:v>
                </c:pt>
                <c:pt idx="53">
                  <c:v>DSS/C</c:v>
                </c:pt>
                <c:pt idx="54">
                  <c:v>MISC</c:v>
                </c:pt>
                <c:pt idx="55">
                  <c:v>Check robot/console    AND   robot alert</c:v>
                </c:pt>
                <c:pt idx="56">
                  <c:v>DSS/C</c:v>
                </c:pt>
                <c:pt idx="57">
                  <c:v>DSS/C</c:v>
                </c:pt>
                <c:pt idx="58">
                  <c:v>DSS/C</c:v>
                </c:pt>
                <c:pt idx="59">
                  <c:v>PE</c:v>
                </c:pt>
                <c:pt idx="60">
                  <c:v>PE</c:v>
                </c:pt>
                <c:pt idx="61">
                  <c:v>DSS/C</c:v>
                </c:pt>
                <c:pt idx="62">
                  <c:v>DSS/C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iSeries!$B$129:$I$129</c:f>
              <c:strCache>
                <c:ptCount val="7"/>
                <c:pt idx="1">
                  <c:v>Mary</c:v>
                </c:pt>
                <c:pt idx="2">
                  <c:v> 117 </c:v>
                </c:pt>
                <c:pt idx="3">
                  <c:v>DO' on Robot job ETS40080 to Reset Robot Host Node for GUI monitor</c:v>
                </c:pt>
                <c:pt idx="6">
                  <c:v>DSS/C</c:v>
                </c:pt>
              </c:strCache>
            </c:strRef>
          </c:cat>
          <c:val>
            <c:numRef>
              <c:f>iSeries!$J$129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1-4CE7-ACC2-6AA1EFF1D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482928"/>
        <c:axId val="1312322288"/>
      </c:barChart>
      <c:catAx>
        <c:axId val="130448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322288"/>
        <c:crosses val="autoZero"/>
        <c:auto val="1"/>
        <c:lblAlgn val="ctr"/>
        <c:lblOffset val="100"/>
        <c:noMultiLvlLbl val="0"/>
      </c:catAx>
      <c:valAx>
        <c:axId val="131232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8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86117D-46FB-43E0-9523-3A858E7FE5EE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46</xdr:row>
      <xdr:rowOff>476250</xdr:rowOff>
    </xdr:from>
    <xdr:to>
      <xdr:col>4</xdr:col>
      <xdr:colOff>7504800</xdr:colOff>
      <xdr:row>46</xdr:row>
      <xdr:rowOff>800060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16935450"/>
          <a:ext cx="7200000" cy="32381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762001</xdr:colOff>
      <xdr:row>15</xdr:row>
      <xdr:rowOff>35720</xdr:rowOff>
    </xdr:from>
    <xdr:to>
      <xdr:col>4</xdr:col>
      <xdr:colOff>6347143</xdr:colOff>
      <xdr:row>15</xdr:row>
      <xdr:rowOff>2078396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6376" y="5822158"/>
          <a:ext cx="5595937" cy="2047121"/>
        </a:xfrm>
        <a:prstGeom prst="rect">
          <a:avLst/>
        </a:prstGeom>
      </xdr:spPr>
    </xdr:pic>
    <xdr:clientData/>
  </xdr:twoCellAnchor>
  <xdr:twoCellAnchor editAs="oneCell">
    <xdr:from>
      <xdr:col>4</xdr:col>
      <xdr:colOff>290265</xdr:colOff>
      <xdr:row>49</xdr:row>
      <xdr:rowOff>153799</xdr:rowOff>
    </xdr:from>
    <xdr:to>
      <xdr:col>4</xdr:col>
      <xdr:colOff>8478590</xdr:colOff>
      <xdr:row>49</xdr:row>
      <xdr:rowOff>1241849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34302" y="37638606"/>
          <a:ext cx="8175625" cy="1095035"/>
        </a:xfrm>
        <a:prstGeom prst="rect">
          <a:avLst/>
        </a:prstGeom>
      </xdr:spPr>
    </xdr:pic>
    <xdr:clientData/>
  </xdr:twoCellAnchor>
  <xdr:twoCellAnchor editAs="oneCell">
    <xdr:from>
      <xdr:col>4</xdr:col>
      <xdr:colOff>54428</xdr:colOff>
      <xdr:row>25</xdr:row>
      <xdr:rowOff>120146</xdr:rowOff>
    </xdr:from>
    <xdr:to>
      <xdr:col>4</xdr:col>
      <xdr:colOff>4399618</xdr:colOff>
      <xdr:row>25</xdr:row>
      <xdr:rowOff>988613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39392" y="19156539"/>
          <a:ext cx="4355350" cy="868467"/>
        </a:xfrm>
        <a:prstGeom prst="rect">
          <a:avLst/>
        </a:prstGeom>
      </xdr:spPr>
    </xdr:pic>
    <xdr:clientData/>
  </xdr:twoCellAnchor>
  <xdr:twoCellAnchor editAs="oneCell">
    <xdr:from>
      <xdr:col>4</xdr:col>
      <xdr:colOff>3456940</xdr:colOff>
      <xdr:row>114</xdr:row>
      <xdr:rowOff>297815</xdr:rowOff>
    </xdr:from>
    <xdr:to>
      <xdr:col>4</xdr:col>
      <xdr:colOff>8975090</xdr:colOff>
      <xdr:row>114</xdr:row>
      <xdr:rowOff>2054709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87815" y="105437940"/>
          <a:ext cx="5523865" cy="1756894"/>
        </a:xfrm>
        <a:prstGeom prst="rect">
          <a:avLst/>
        </a:prstGeom>
      </xdr:spPr>
    </xdr:pic>
    <xdr:clientData/>
  </xdr:twoCellAnchor>
  <xdr:twoCellAnchor editAs="oneCell">
    <xdr:from>
      <xdr:col>4</xdr:col>
      <xdr:colOff>142313</xdr:colOff>
      <xdr:row>38</xdr:row>
      <xdr:rowOff>81727</xdr:rowOff>
    </xdr:from>
    <xdr:to>
      <xdr:col>4</xdr:col>
      <xdr:colOff>8762999</xdr:colOff>
      <xdr:row>38</xdr:row>
      <xdr:rowOff>1467040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3876" y="31609477"/>
          <a:ext cx="8620686" cy="1378963"/>
        </a:xfrm>
        <a:prstGeom prst="rect">
          <a:avLst/>
        </a:prstGeom>
      </xdr:spPr>
    </xdr:pic>
    <xdr:clientData/>
  </xdr:twoCellAnchor>
  <xdr:twoCellAnchor editAs="oneCell">
    <xdr:from>
      <xdr:col>4</xdr:col>
      <xdr:colOff>41563</xdr:colOff>
      <xdr:row>51</xdr:row>
      <xdr:rowOff>138546</xdr:rowOff>
    </xdr:from>
    <xdr:to>
      <xdr:col>4</xdr:col>
      <xdr:colOff>8592553</xdr:colOff>
      <xdr:row>51</xdr:row>
      <xdr:rowOff>1007571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FE312-41DD-495C-B41C-58563DC75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44290" y="50098038"/>
          <a:ext cx="8820230" cy="872835"/>
        </a:xfrm>
        <a:prstGeom prst="rect">
          <a:avLst/>
        </a:prstGeom>
      </xdr:spPr>
    </xdr:pic>
    <xdr:clientData/>
  </xdr:twoCellAnchor>
  <xdr:twoCellAnchor editAs="oneCell">
    <xdr:from>
      <xdr:col>4</xdr:col>
      <xdr:colOff>4477409</xdr:colOff>
      <xdr:row>25</xdr:row>
      <xdr:rowOff>135290</xdr:rowOff>
    </xdr:from>
    <xdr:to>
      <xdr:col>5</xdr:col>
      <xdr:colOff>2540</xdr:colOff>
      <xdr:row>25</xdr:row>
      <xdr:rowOff>1184790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E4F19A-9713-4F48-8EA7-F6551B80C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08284" y="17915290"/>
          <a:ext cx="5682591" cy="1049500"/>
        </a:xfrm>
        <a:prstGeom prst="rect">
          <a:avLst/>
        </a:prstGeom>
      </xdr:spPr>
    </xdr:pic>
    <xdr:clientData/>
  </xdr:twoCellAnchor>
  <xdr:twoCellAnchor editAs="oneCell">
    <xdr:from>
      <xdr:col>4</xdr:col>
      <xdr:colOff>4148504</xdr:colOff>
      <xdr:row>28</xdr:row>
      <xdr:rowOff>1139452</xdr:rowOff>
    </xdr:from>
    <xdr:to>
      <xdr:col>5</xdr:col>
      <xdr:colOff>635</xdr:colOff>
      <xdr:row>28</xdr:row>
      <xdr:rowOff>2035128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62FFB7A-5B1C-43B5-BAA6-A56CD2BCF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79379" y="21824577"/>
          <a:ext cx="5963871" cy="899486"/>
        </a:xfrm>
        <a:prstGeom prst="rect">
          <a:avLst/>
        </a:prstGeom>
      </xdr:spPr>
    </xdr:pic>
    <xdr:clientData/>
  </xdr:twoCellAnchor>
  <xdr:twoCellAnchor editAs="oneCell">
    <xdr:from>
      <xdr:col>4</xdr:col>
      <xdr:colOff>159544</xdr:colOff>
      <xdr:row>35</xdr:row>
      <xdr:rowOff>160339</xdr:rowOff>
    </xdr:from>
    <xdr:to>
      <xdr:col>4</xdr:col>
      <xdr:colOff>8705213</xdr:colOff>
      <xdr:row>35</xdr:row>
      <xdr:rowOff>1349022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CF49E90-7E81-49FB-950C-6833DB9D6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41107" y="27318495"/>
          <a:ext cx="8555829" cy="1177888"/>
        </a:xfrm>
        <a:prstGeom prst="rect">
          <a:avLst/>
        </a:prstGeom>
      </xdr:spPr>
    </xdr:pic>
    <xdr:clientData/>
  </xdr:twoCellAnchor>
  <xdr:twoCellAnchor editAs="oneCell">
    <xdr:from>
      <xdr:col>4</xdr:col>
      <xdr:colOff>155575</xdr:colOff>
      <xdr:row>37</xdr:row>
      <xdr:rowOff>79375</xdr:rowOff>
    </xdr:from>
    <xdr:to>
      <xdr:col>4</xdr:col>
      <xdr:colOff>8797925</xdr:colOff>
      <xdr:row>37</xdr:row>
      <xdr:rowOff>1508238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600E00C-78BC-42D8-AC6E-47588A854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54575" y="29702125"/>
          <a:ext cx="8642350" cy="1439023"/>
        </a:xfrm>
        <a:prstGeom prst="rect">
          <a:avLst/>
        </a:prstGeom>
      </xdr:spPr>
    </xdr:pic>
    <xdr:clientData/>
  </xdr:twoCellAnchor>
  <xdr:twoCellAnchor editAs="oneCell">
    <xdr:from>
      <xdr:col>4</xdr:col>
      <xdr:colOff>177801</xdr:colOff>
      <xdr:row>36</xdr:row>
      <xdr:rowOff>82552</xdr:rowOff>
    </xdr:from>
    <xdr:to>
      <xdr:col>4</xdr:col>
      <xdr:colOff>8780463</xdr:colOff>
      <xdr:row>36</xdr:row>
      <xdr:rowOff>1103342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1F65B33-FF78-4878-B6E9-6C22CA6CA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059364" y="28657552"/>
          <a:ext cx="8609012" cy="1020790"/>
        </a:xfrm>
        <a:prstGeom prst="rect">
          <a:avLst/>
        </a:prstGeom>
      </xdr:spPr>
    </xdr:pic>
    <xdr:clientData/>
  </xdr:twoCellAnchor>
  <xdr:twoCellAnchor editAs="oneCell">
    <xdr:from>
      <xdr:col>4</xdr:col>
      <xdr:colOff>53339</xdr:colOff>
      <xdr:row>40</xdr:row>
      <xdr:rowOff>75564</xdr:rowOff>
    </xdr:from>
    <xdr:to>
      <xdr:col>5</xdr:col>
      <xdr:colOff>634</xdr:colOff>
      <xdr:row>40</xdr:row>
      <xdr:rowOff>2762078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740D009-B028-4757-B751-4F28391C8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84214" y="34238564"/>
          <a:ext cx="10059035" cy="2699849"/>
        </a:xfrm>
        <a:prstGeom prst="rect">
          <a:avLst/>
        </a:prstGeom>
      </xdr:spPr>
    </xdr:pic>
    <xdr:clientData/>
  </xdr:twoCellAnchor>
  <xdr:twoCellAnchor editAs="oneCell">
    <xdr:from>
      <xdr:col>4</xdr:col>
      <xdr:colOff>53339</xdr:colOff>
      <xdr:row>41</xdr:row>
      <xdr:rowOff>91440</xdr:rowOff>
    </xdr:from>
    <xdr:to>
      <xdr:col>4</xdr:col>
      <xdr:colOff>9932669</xdr:colOff>
      <xdr:row>41</xdr:row>
      <xdr:rowOff>2990949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23852A8-AAAD-471B-8B8A-75A349791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84214" y="37238940"/>
          <a:ext cx="10090785" cy="2889984"/>
        </a:xfrm>
        <a:prstGeom prst="rect">
          <a:avLst/>
        </a:prstGeom>
      </xdr:spPr>
    </xdr:pic>
    <xdr:clientData/>
  </xdr:twoCellAnchor>
  <xdr:twoCellAnchor editAs="oneCell">
    <xdr:from>
      <xdr:col>4</xdr:col>
      <xdr:colOff>84455</xdr:colOff>
      <xdr:row>44</xdr:row>
      <xdr:rowOff>163831</xdr:rowOff>
    </xdr:from>
    <xdr:to>
      <xdr:col>5</xdr:col>
      <xdr:colOff>635</xdr:colOff>
      <xdr:row>44</xdr:row>
      <xdr:rowOff>2607075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65B1A3C-8BB4-4D5B-9766-D3D504987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15330" y="42423081"/>
          <a:ext cx="10027920" cy="2447054"/>
        </a:xfrm>
        <a:prstGeom prst="rect">
          <a:avLst/>
        </a:prstGeom>
      </xdr:spPr>
    </xdr:pic>
    <xdr:clientData/>
  </xdr:twoCellAnchor>
  <xdr:twoCellAnchor editAs="oneCell">
    <xdr:from>
      <xdr:col>4</xdr:col>
      <xdr:colOff>81440</xdr:colOff>
      <xdr:row>63</xdr:row>
      <xdr:rowOff>41592</xdr:rowOff>
    </xdr:from>
    <xdr:to>
      <xdr:col>4</xdr:col>
      <xdr:colOff>7865269</xdr:colOff>
      <xdr:row>63</xdr:row>
      <xdr:rowOff>1368302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6B191C-50D5-4D35-AF2B-22843C66C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12315" y="66795967"/>
          <a:ext cx="7772399" cy="1326710"/>
        </a:xfrm>
        <a:prstGeom prst="rect">
          <a:avLst/>
        </a:prstGeom>
      </xdr:spPr>
    </xdr:pic>
    <xdr:clientData/>
  </xdr:twoCellAnchor>
  <xdr:twoCellAnchor editAs="oneCell">
    <xdr:from>
      <xdr:col>4</xdr:col>
      <xdr:colOff>119220</xdr:colOff>
      <xdr:row>64</xdr:row>
      <xdr:rowOff>158751</xdr:rowOff>
    </xdr:from>
    <xdr:to>
      <xdr:col>4</xdr:col>
      <xdr:colOff>7941151</xdr:colOff>
      <xdr:row>64</xdr:row>
      <xdr:rowOff>1809964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811D8C-0504-4C24-847C-31EC76A1E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50095" y="68389501"/>
          <a:ext cx="7814311" cy="1637878"/>
        </a:xfrm>
        <a:prstGeom prst="rect">
          <a:avLst/>
        </a:prstGeom>
      </xdr:spPr>
    </xdr:pic>
    <xdr:clientData/>
  </xdr:twoCellAnchor>
  <xdr:twoCellAnchor editAs="oneCell">
    <xdr:from>
      <xdr:col>9</xdr:col>
      <xdr:colOff>35719</xdr:colOff>
      <xdr:row>84</xdr:row>
      <xdr:rowOff>95249</xdr:rowOff>
    </xdr:from>
    <xdr:to>
      <xdr:col>9</xdr:col>
      <xdr:colOff>5278437</xdr:colOff>
      <xdr:row>84</xdr:row>
      <xdr:rowOff>282516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67251F7-5271-4F24-9DB2-9A4E64128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264063" y="66401155"/>
          <a:ext cx="5226843" cy="191077"/>
        </a:xfrm>
        <a:prstGeom prst="rect">
          <a:avLst/>
        </a:prstGeom>
      </xdr:spPr>
    </xdr:pic>
    <xdr:clientData/>
  </xdr:twoCellAnchor>
  <xdr:twoCellAnchor editAs="oneCell">
    <xdr:from>
      <xdr:col>9</xdr:col>
      <xdr:colOff>59532</xdr:colOff>
      <xdr:row>93</xdr:row>
      <xdr:rowOff>142875</xdr:rowOff>
    </xdr:from>
    <xdr:to>
      <xdr:col>9</xdr:col>
      <xdr:colOff>5349716</xdr:colOff>
      <xdr:row>93</xdr:row>
      <xdr:rowOff>512466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B22CB28-3B3B-4A5D-90A5-CE6857557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287876" y="68139469"/>
          <a:ext cx="5286374" cy="373401"/>
        </a:xfrm>
        <a:prstGeom prst="rect">
          <a:avLst/>
        </a:prstGeom>
      </xdr:spPr>
    </xdr:pic>
    <xdr:clientData/>
  </xdr:twoCellAnchor>
  <xdr:twoCellAnchor editAs="oneCell">
    <xdr:from>
      <xdr:col>9</xdr:col>
      <xdr:colOff>37215</xdr:colOff>
      <xdr:row>94</xdr:row>
      <xdr:rowOff>229643</xdr:rowOff>
    </xdr:from>
    <xdr:to>
      <xdr:col>9</xdr:col>
      <xdr:colOff>5503714</xdr:colOff>
      <xdr:row>94</xdr:row>
      <xdr:rowOff>402765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526544E-C991-4DB4-BE09-DE6DF6B36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128036" y="76484072"/>
          <a:ext cx="5474119" cy="182647"/>
        </a:xfrm>
        <a:prstGeom prst="rect">
          <a:avLst/>
        </a:prstGeom>
      </xdr:spPr>
    </xdr:pic>
    <xdr:clientData/>
  </xdr:twoCellAnchor>
  <xdr:twoCellAnchor editAs="oneCell">
    <xdr:from>
      <xdr:col>4</xdr:col>
      <xdr:colOff>101962</xdr:colOff>
      <xdr:row>28</xdr:row>
      <xdr:rowOff>152242</xdr:rowOff>
    </xdr:from>
    <xdr:to>
      <xdr:col>4</xdr:col>
      <xdr:colOff>6118224</xdr:colOff>
      <xdr:row>28</xdr:row>
      <xdr:rowOff>1107836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FB55DFD-3A25-46AF-BFEB-F9EFABA9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832837" y="20837367"/>
          <a:ext cx="6027692" cy="955594"/>
        </a:xfrm>
        <a:prstGeom prst="rect">
          <a:avLst/>
        </a:prstGeom>
      </xdr:spPr>
    </xdr:pic>
    <xdr:clientData/>
  </xdr:twoCellAnchor>
  <xdr:oneCellAnchor>
    <xdr:from>
      <xdr:col>9</xdr:col>
      <xdr:colOff>228599</xdr:colOff>
      <xdr:row>79</xdr:row>
      <xdr:rowOff>144463</xdr:rowOff>
    </xdr:from>
    <xdr:ext cx="4845523" cy="155085"/>
    <xdr:pic>
      <xdr:nvPicPr>
        <xdr:cNvPr id="20" name="Picture 19">
          <a:extLst>
            <a:ext uri="{FF2B5EF4-FFF2-40B4-BE49-F238E27FC236}">
              <a16:creationId xmlns:a16="http://schemas.microsoft.com/office/drawing/2014/main" id="{14201CCC-845D-4074-8A03-2532AA6CC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964149" y="79392463"/>
          <a:ext cx="4845523" cy="155085"/>
        </a:xfrm>
        <a:prstGeom prst="rect">
          <a:avLst/>
        </a:prstGeom>
      </xdr:spPr>
    </xdr:pic>
    <xdr:clientData/>
  </xdr:oneCellAnchor>
  <xdr:oneCellAnchor>
    <xdr:from>
      <xdr:col>9</xdr:col>
      <xdr:colOff>50822</xdr:colOff>
      <xdr:row>74</xdr:row>
      <xdr:rowOff>229644</xdr:rowOff>
    </xdr:from>
    <xdr:ext cx="5389242" cy="172487"/>
    <xdr:pic>
      <xdr:nvPicPr>
        <xdr:cNvPr id="22" name="Picture 21">
          <a:extLst>
            <a:ext uri="{FF2B5EF4-FFF2-40B4-BE49-F238E27FC236}">
              <a16:creationId xmlns:a16="http://schemas.microsoft.com/office/drawing/2014/main" id="{A7752D24-21E5-4C0B-963F-CA053CBFD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141643" y="79532073"/>
          <a:ext cx="5389242" cy="172487"/>
        </a:xfrm>
        <a:prstGeom prst="rect">
          <a:avLst/>
        </a:prstGeom>
      </xdr:spPr>
    </xdr:pic>
    <xdr:clientData/>
  </xdr:oneCellAnchor>
  <xdr:twoCellAnchor editAs="oneCell">
    <xdr:from>
      <xdr:col>9</xdr:col>
      <xdr:colOff>84666</xdr:colOff>
      <xdr:row>107</xdr:row>
      <xdr:rowOff>52917</xdr:rowOff>
    </xdr:from>
    <xdr:to>
      <xdr:col>10</xdr:col>
      <xdr:colOff>57533</xdr:colOff>
      <xdr:row>107</xdr:row>
      <xdr:rowOff>2151329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60AEE1C-1A18-2E1D-9EE6-FAE0395DE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324916" y="81534000"/>
          <a:ext cx="5400000" cy="2104762"/>
        </a:xfrm>
        <a:prstGeom prst="rect">
          <a:avLst/>
        </a:prstGeom>
      </xdr:spPr>
    </xdr:pic>
    <xdr:clientData/>
  </xdr:twoCellAnchor>
  <xdr:twoCellAnchor editAs="oneCell">
    <xdr:from>
      <xdr:col>4</xdr:col>
      <xdr:colOff>117898</xdr:colOff>
      <xdr:row>45</xdr:row>
      <xdr:rowOff>105834</xdr:rowOff>
    </xdr:from>
    <xdr:to>
      <xdr:col>5</xdr:col>
      <xdr:colOff>0</xdr:colOff>
      <xdr:row>46</xdr:row>
      <xdr:rowOff>58903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D85E384-2EF6-4CAC-8580-1BA84AC5E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848773" y="45047959"/>
          <a:ext cx="10026227" cy="3060759"/>
        </a:xfrm>
        <a:prstGeom prst="rect">
          <a:avLst/>
        </a:prstGeom>
      </xdr:spPr>
    </xdr:pic>
    <xdr:clientData/>
  </xdr:twoCellAnchor>
  <xdr:twoCellAnchor editAs="oneCell">
    <xdr:from>
      <xdr:col>9</xdr:col>
      <xdr:colOff>10432</xdr:colOff>
      <xdr:row>73</xdr:row>
      <xdr:rowOff>64861</xdr:rowOff>
    </xdr:from>
    <xdr:to>
      <xdr:col>9</xdr:col>
      <xdr:colOff>5163458</xdr:colOff>
      <xdr:row>73</xdr:row>
      <xdr:rowOff>531866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33269E-3E67-71DC-A96C-1DFFF83A8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7699718" y="80714397"/>
          <a:ext cx="5146676" cy="46700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78</xdr:row>
      <xdr:rowOff>76201</xdr:rowOff>
    </xdr:from>
    <xdr:to>
      <xdr:col>9</xdr:col>
      <xdr:colOff>4434840</xdr:colOff>
      <xdr:row>78</xdr:row>
      <xdr:rowOff>511707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369B385-24C7-14B9-048A-D8D5815BA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849850" y="78695551"/>
          <a:ext cx="4324350" cy="428521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116</xdr:row>
      <xdr:rowOff>133350</xdr:rowOff>
    </xdr:from>
    <xdr:to>
      <xdr:col>4</xdr:col>
      <xdr:colOff>5600700</xdr:colOff>
      <xdr:row>116</xdr:row>
      <xdr:rowOff>3070258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44EE59A-C633-4BA4-8CD4-15D191D57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91150" y="99783900"/>
          <a:ext cx="5562600" cy="2941353"/>
        </a:xfrm>
        <a:prstGeom prst="rect">
          <a:avLst/>
        </a:prstGeom>
      </xdr:spPr>
    </xdr:pic>
    <xdr:clientData/>
  </xdr:twoCellAnchor>
  <xdr:twoCellAnchor editAs="oneCell">
    <xdr:from>
      <xdr:col>4</xdr:col>
      <xdr:colOff>130810</xdr:colOff>
      <xdr:row>59</xdr:row>
      <xdr:rowOff>67310</xdr:rowOff>
    </xdr:from>
    <xdr:to>
      <xdr:col>4</xdr:col>
      <xdr:colOff>7412738</xdr:colOff>
      <xdr:row>59</xdr:row>
      <xdr:rowOff>2380303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0D4C8DE-4ADF-DFD3-5459-D0F8E422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861685" y="56312435"/>
          <a:ext cx="7287643" cy="2320613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60</xdr:row>
      <xdr:rowOff>63500</xdr:rowOff>
    </xdr:from>
    <xdr:to>
      <xdr:col>4</xdr:col>
      <xdr:colOff>9314840</xdr:colOff>
      <xdr:row>60</xdr:row>
      <xdr:rowOff>3521558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9EA0361-DB5D-158F-7CD0-A511B76DD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778500" y="59436000"/>
          <a:ext cx="9278645" cy="3458058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82</xdr:row>
      <xdr:rowOff>571500</xdr:rowOff>
    </xdr:from>
    <xdr:to>
      <xdr:col>9</xdr:col>
      <xdr:colOff>5411470</xdr:colOff>
      <xdr:row>83</xdr:row>
      <xdr:rowOff>895586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173ED10-03E7-9B0D-AFB4-2ADF99433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129375" y="72342375"/>
          <a:ext cx="5363845" cy="896221"/>
        </a:xfrm>
        <a:prstGeom prst="rect">
          <a:avLst/>
        </a:prstGeom>
      </xdr:spPr>
    </xdr:pic>
    <xdr:clientData/>
  </xdr:twoCellAnchor>
  <xdr:oneCellAnchor>
    <xdr:from>
      <xdr:col>9</xdr:col>
      <xdr:colOff>35719</xdr:colOff>
      <xdr:row>89</xdr:row>
      <xdr:rowOff>95249</xdr:rowOff>
    </xdr:from>
    <xdr:ext cx="5242718" cy="183457"/>
    <xdr:pic>
      <xdr:nvPicPr>
        <xdr:cNvPr id="39" name="Picture 38">
          <a:extLst>
            <a:ext uri="{FF2B5EF4-FFF2-40B4-BE49-F238E27FC236}">
              <a16:creationId xmlns:a16="http://schemas.microsoft.com/office/drawing/2014/main" id="{CBCA4CAF-8BD3-4270-878D-A9E974F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126540" y="73359916"/>
          <a:ext cx="5242718" cy="183457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87</xdr:row>
      <xdr:rowOff>571500</xdr:rowOff>
    </xdr:from>
    <xdr:ext cx="5361940" cy="897763"/>
    <xdr:pic>
      <xdr:nvPicPr>
        <xdr:cNvPr id="40" name="Picture 39">
          <a:extLst>
            <a:ext uri="{FF2B5EF4-FFF2-40B4-BE49-F238E27FC236}">
              <a16:creationId xmlns:a16="http://schemas.microsoft.com/office/drawing/2014/main" id="{82701F92-6C0F-4622-8B41-0C9019E18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140351" y="72308357"/>
          <a:ext cx="5361940" cy="897763"/>
        </a:xfrm>
        <a:prstGeom prst="rect">
          <a:avLst/>
        </a:prstGeom>
      </xdr:spPr>
    </xdr:pic>
    <xdr:clientData/>
  </xdr:oneCellAnchor>
  <xdr:oneCellAnchor>
    <xdr:from>
      <xdr:col>9</xdr:col>
      <xdr:colOff>59532</xdr:colOff>
      <xdr:row>98</xdr:row>
      <xdr:rowOff>142875</xdr:rowOff>
    </xdr:from>
    <xdr:ext cx="5293994" cy="371496"/>
    <xdr:pic>
      <xdr:nvPicPr>
        <xdr:cNvPr id="41" name="Picture 40">
          <a:extLst>
            <a:ext uri="{FF2B5EF4-FFF2-40B4-BE49-F238E27FC236}">
              <a16:creationId xmlns:a16="http://schemas.microsoft.com/office/drawing/2014/main" id="{41DC98E8-C637-4E87-8EAE-B5EAF55E9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137472" y="85199220"/>
          <a:ext cx="5293994" cy="371496"/>
        </a:xfrm>
        <a:prstGeom prst="rect">
          <a:avLst/>
        </a:prstGeom>
      </xdr:spPr>
    </xdr:pic>
    <xdr:clientData/>
  </xdr:oneCellAnchor>
  <xdr:oneCellAnchor>
    <xdr:from>
      <xdr:col>9</xdr:col>
      <xdr:colOff>37215</xdr:colOff>
      <xdr:row>99</xdr:row>
      <xdr:rowOff>229643</xdr:rowOff>
    </xdr:from>
    <xdr:ext cx="5466499" cy="173122"/>
    <xdr:pic>
      <xdr:nvPicPr>
        <xdr:cNvPr id="42" name="Picture 41">
          <a:extLst>
            <a:ext uri="{FF2B5EF4-FFF2-40B4-BE49-F238E27FC236}">
              <a16:creationId xmlns:a16="http://schemas.microsoft.com/office/drawing/2014/main" id="{D0E8BCB9-CFAA-47CF-89AA-8415302A4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118965" y="85907018"/>
          <a:ext cx="5466499" cy="17312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11</xdr:row>
      <xdr:rowOff>114300</xdr:rowOff>
    </xdr:from>
    <xdr:to>
      <xdr:col>8</xdr:col>
      <xdr:colOff>447675</xdr:colOff>
      <xdr:row>12</xdr:row>
      <xdr:rowOff>352425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1552575" y="2209800"/>
          <a:ext cx="462915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9525</xdr:colOff>
      <xdr:row>15</xdr:row>
      <xdr:rowOff>228600</xdr:rowOff>
    </xdr:from>
    <xdr:to>
      <xdr:col>20</xdr:col>
      <xdr:colOff>202354</xdr:colOff>
      <xdr:row>33</xdr:row>
      <xdr:rowOff>56700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25" y="3143250"/>
          <a:ext cx="6374554" cy="32571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19</xdr:col>
      <xdr:colOff>463143</xdr:colOff>
      <xdr:row>15</xdr:row>
      <xdr:rowOff>9181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00C8A1-3FCF-4345-A930-D6F8D795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8550" y="171450"/>
          <a:ext cx="3257143" cy="27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22</xdr:row>
      <xdr:rowOff>9525</xdr:rowOff>
    </xdr:from>
    <xdr:to>
      <xdr:col>10</xdr:col>
      <xdr:colOff>216939</xdr:colOff>
      <xdr:row>28</xdr:row>
      <xdr:rowOff>171409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7C601-5B06-4D22-BA6E-14D40A54E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4495800"/>
          <a:ext cx="13316989" cy="1190584"/>
        </a:xfrm>
        <a:prstGeom prst="rect">
          <a:avLst/>
        </a:prstGeom>
      </xdr:spPr>
    </xdr:pic>
    <xdr:clientData/>
  </xdr:twoCellAnchor>
  <xdr:twoCellAnchor editAs="oneCell">
    <xdr:from>
      <xdr:col>1</xdr:col>
      <xdr:colOff>558800</xdr:colOff>
      <xdr:row>12</xdr:row>
      <xdr:rowOff>104775</xdr:rowOff>
    </xdr:from>
    <xdr:to>
      <xdr:col>10</xdr:col>
      <xdr:colOff>278809</xdr:colOff>
      <xdr:row>20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81ED92-D55A-4658-B6FC-7CCA25E5B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0775" y="2876550"/>
          <a:ext cx="13385209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2985750" cy="9429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1453D3-CA88-4785-A328-BEF9E1A4FA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olamvssprod.mclaneco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2"/>
  <sheetViews>
    <sheetView tabSelected="1" workbookViewId="0">
      <selection activeCell="C3" sqref="C3"/>
    </sheetView>
  </sheetViews>
  <sheetFormatPr defaultRowHeight="14.45"/>
  <cols>
    <col min="3" max="3" width="55.7109375" customWidth="1"/>
  </cols>
  <sheetData>
    <row r="1" spans="2:3">
      <c r="B1" s="7"/>
      <c r="C1" s="7"/>
    </row>
    <row r="2" spans="2:3">
      <c r="B2" s="7"/>
      <c r="C2" s="7"/>
    </row>
    <row r="3" spans="2:3" ht="16.5">
      <c r="C3" s="212" t="s">
        <v>0</v>
      </c>
    </row>
    <row r="4" spans="2:3">
      <c r="C4" s="182" t="s">
        <v>1</v>
      </c>
    </row>
    <row r="5" spans="2:3">
      <c r="C5" s="1"/>
    </row>
    <row r="6" spans="2:3">
      <c r="C6" s="1"/>
    </row>
    <row r="7" spans="2:3">
      <c r="C7" s="12" t="s">
        <v>2</v>
      </c>
    </row>
    <row r="8" spans="2:3">
      <c r="C8" s="11" t="s">
        <v>3</v>
      </c>
    </row>
    <row r="9" spans="2:3">
      <c r="C9" s="9"/>
    </row>
    <row r="10" spans="2:3">
      <c r="C10" s="1"/>
    </row>
    <row r="11" spans="2:3">
      <c r="C11" s="12" t="s">
        <v>4</v>
      </c>
    </row>
    <row r="12" spans="2:3">
      <c r="C12" s="11" t="s">
        <v>5</v>
      </c>
    </row>
    <row r="13" spans="2:3" ht="15">
      <c r="C13" s="10" t="s">
        <v>6</v>
      </c>
    </row>
    <row r="14" spans="2:3">
      <c r="C14" s="1"/>
    </row>
    <row r="15" spans="2:3">
      <c r="C15" s="12" t="s">
        <v>7</v>
      </c>
    </row>
    <row r="16" spans="2:3" ht="21">
      <c r="C16" s="140" t="s">
        <v>8</v>
      </c>
    </row>
    <row r="17" spans="3:4">
      <c r="C17" s="6"/>
    </row>
    <row r="18" spans="3:4">
      <c r="C18" s="6"/>
    </row>
    <row r="19" spans="3:4">
      <c r="C19" s="5"/>
    </row>
    <row r="20" spans="3:4">
      <c r="C20" s="6" t="s">
        <v>9</v>
      </c>
      <c r="D20" t="s">
        <v>10</v>
      </c>
    </row>
    <row r="21" spans="3:4">
      <c r="C21" s="6"/>
      <c r="D21" t="s">
        <v>11</v>
      </c>
    </row>
    <row r="22" spans="3:4">
      <c r="C22" s="5"/>
      <c r="D22" t="s">
        <v>12</v>
      </c>
    </row>
    <row r="23" spans="3:4">
      <c r="C23" s="5"/>
    </row>
    <row r="24" spans="3:4">
      <c r="C24" s="6"/>
    </row>
    <row r="25" spans="3:4">
      <c r="C25" s="6"/>
    </row>
    <row r="26" spans="3:4">
      <c r="C26" s="5"/>
    </row>
    <row r="27" spans="3:4">
      <c r="C27" s="6"/>
    </row>
    <row r="28" spans="3:4">
      <c r="C28" s="6"/>
    </row>
    <row r="29" spans="3:4">
      <c r="C29" s="5"/>
    </row>
    <row r="30" spans="3:4">
      <c r="C30" s="6"/>
    </row>
    <row r="31" spans="3:4">
      <c r="C31" s="1"/>
    </row>
    <row r="32" spans="3:4">
      <c r="C32" s="1"/>
    </row>
  </sheetData>
  <pageMargins left="0.7" right="0.7" top="0.75" bottom="0.75" header="0.3" footer="0.3"/>
  <pageSetup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IV137"/>
  <sheetViews>
    <sheetView showGridLines="0" topLeftCell="A47" zoomScale="60" zoomScaleNormal="60" workbookViewId="0">
      <selection activeCell="E3" sqref="E3"/>
    </sheetView>
  </sheetViews>
  <sheetFormatPr defaultColWidth="9.140625" defaultRowHeight="24.6"/>
  <cols>
    <col min="1" max="1" width="31" style="130" bestFit="1" customWidth="1"/>
    <col min="2" max="2" width="24.7109375" style="131" customWidth="1"/>
    <col min="3" max="3" width="13" style="29" bestFit="1" customWidth="1"/>
    <col min="4" max="4" width="14.85546875" style="29" bestFit="1" customWidth="1"/>
    <col min="5" max="5" width="149" style="132" customWidth="1"/>
    <col min="6" max="6" width="9.5703125" style="29" bestFit="1" customWidth="1"/>
    <col min="7" max="7" width="11.140625" style="70" bestFit="1" customWidth="1"/>
    <col min="8" max="8" width="11.140625" style="29" bestFit="1" customWidth="1"/>
    <col min="9" max="9" width="13.85546875" style="29" bestFit="1" customWidth="1"/>
    <col min="10" max="10" width="85.5703125" style="29" customWidth="1"/>
    <col min="11" max="16384" width="9.140625" style="29"/>
  </cols>
  <sheetData>
    <row r="1" spans="1:256" ht="54" customHeight="1">
      <c r="A1" s="18" t="s">
        <v>13</v>
      </c>
      <c r="B1" s="19">
        <v>45703</v>
      </c>
      <c r="C1" s="20" t="s">
        <v>14</v>
      </c>
      <c r="D1" s="21"/>
      <c r="E1" s="22" t="s">
        <v>15</v>
      </c>
      <c r="F1" s="23"/>
      <c r="G1" s="24"/>
      <c r="H1" s="25"/>
      <c r="I1" s="24"/>
      <c r="J1" s="26"/>
      <c r="K1" s="27"/>
      <c r="L1" s="27"/>
      <c r="M1" s="27"/>
      <c r="N1" s="27"/>
      <c r="O1" s="27"/>
      <c r="P1" s="27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</row>
    <row r="2" spans="1:256">
      <c r="A2" s="30" t="s">
        <v>16</v>
      </c>
      <c r="B2" s="31" t="s">
        <v>17</v>
      </c>
      <c r="C2" s="24" t="s">
        <v>14</v>
      </c>
      <c r="D2" s="32" t="s">
        <v>18</v>
      </c>
      <c r="E2" s="22" t="s">
        <v>19</v>
      </c>
      <c r="F2" s="33" t="s">
        <v>20</v>
      </c>
      <c r="G2" s="24" t="s">
        <v>20</v>
      </c>
      <c r="H2" s="25" t="s">
        <v>20</v>
      </c>
      <c r="I2" s="24" t="s">
        <v>20</v>
      </c>
      <c r="J2" s="22" t="s">
        <v>21</v>
      </c>
      <c r="K2" s="27"/>
      <c r="L2" s="27"/>
      <c r="M2" s="27"/>
      <c r="N2" s="27"/>
      <c r="O2" s="27"/>
      <c r="P2" s="27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8"/>
      <c r="HS2" s="28"/>
      <c r="HT2" s="28"/>
      <c r="HU2" s="28"/>
      <c r="HV2" s="28"/>
      <c r="HW2" s="28"/>
      <c r="HX2" s="28"/>
      <c r="HY2" s="28"/>
      <c r="HZ2" s="28"/>
      <c r="IA2" s="28"/>
      <c r="IB2" s="28"/>
      <c r="IC2" s="28"/>
      <c r="ID2" s="28"/>
      <c r="IE2" s="28"/>
      <c r="IF2" s="28"/>
      <c r="IG2" s="28"/>
      <c r="IH2" s="28"/>
      <c r="II2" s="28"/>
      <c r="IJ2" s="28"/>
      <c r="IK2" s="28"/>
      <c r="IL2" s="28"/>
      <c r="IM2" s="28"/>
      <c r="IN2" s="28"/>
      <c r="IO2" s="28"/>
      <c r="IP2" s="28"/>
      <c r="IQ2" s="28"/>
      <c r="IR2" s="28"/>
      <c r="IS2" s="28"/>
      <c r="IT2" s="28"/>
      <c r="IU2" s="28"/>
      <c r="IV2" s="28"/>
    </row>
    <row r="3" spans="1:256">
      <c r="A3" s="135"/>
      <c r="B3" s="136"/>
      <c r="C3" s="24"/>
      <c r="D3" s="32"/>
      <c r="E3" s="22" t="s">
        <v>22</v>
      </c>
      <c r="F3" s="33" t="s">
        <v>23</v>
      </c>
      <c r="G3" s="24" t="s">
        <v>23</v>
      </c>
      <c r="H3" s="25" t="s">
        <v>23</v>
      </c>
      <c r="I3" s="24" t="s">
        <v>23</v>
      </c>
      <c r="J3" s="22"/>
      <c r="K3" s="27"/>
      <c r="L3" s="27"/>
      <c r="M3" s="27"/>
      <c r="N3" s="27"/>
      <c r="O3" s="27"/>
      <c r="P3" s="27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</row>
    <row r="4" spans="1:256">
      <c r="A4" s="137"/>
      <c r="B4" s="138"/>
      <c r="C4" s="24"/>
      <c r="D4" s="32"/>
      <c r="E4" s="22" t="s">
        <v>24</v>
      </c>
      <c r="F4" s="33"/>
      <c r="G4" s="24"/>
      <c r="H4" s="25"/>
      <c r="I4" s="24"/>
      <c r="J4" s="22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</row>
    <row r="5" spans="1:256" ht="39" customHeight="1">
      <c r="A5" s="35"/>
      <c r="B5" s="36"/>
      <c r="C5" s="37" t="s">
        <v>25</v>
      </c>
      <c r="D5" s="38">
        <v>1</v>
      </c>
      <c r="E5" s="39" t="s">
        <v>26</v>
      </c>
      <c r="F5" s="33" t="s">
        <v>27</v>
      </c>
      <c r="G5" s="24"/>
      <c r="H5" s="25"/>
      <c r="I5" s="24"/>
      <c r="J5" s="22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</row>
    <row r="6" spans="1:256" ht="39" customHeight="1">
      <c r="A6" s="35"/>
      <c r="B6" s="36"/>
      <c r="C6" s="37" t="s">
        <v>25</v>
      </c>
      <c r="D6" s="38">
        <v>2</v>
      </c>
      <c r="E6" s="39" t="s">
        <v>28</v>
      </c>
      <c r="F6" s="33" t="s">
        <v>27</v>
      </c>
      <c r="G6" s="24"/>
      <c r="H6" s="25"/>
      <c r="I6" s="24"/>
      <c r="J6" s="22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</row>
    <row r="7" spans="1:256" ht="39" customHeight="1">
      <c r="A7" s="35"/>
      <c r="B7" s="34"/>
      <c r="C7" s="37" t="s">
        <v>14</v>
      </c>
      <c r="D7" s="38"/>
      <c r="E7" s="22" t="s">
        <v>29</v>
      </c>
      <c r="F7" s="33"/>
      <c r="G7" s="24"/>
      <c r="H7" s="25"/>
      <c r="I7" s="24"/>
      <c r="J7" s="22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</row>
    <row r="8" spans="1:256" ht="54" customHeight="1">
      <c r="A8" s="35">
        <v>0.35416666666666669</v>
      </c>
      <c r="B8" s="40"/>
      <c r="C8" s="37" t="s">
        <v>30</v>
      </c>
      <c r="D8" s="38">
        <v>1</v>
      </c>
      <c r="E8" s="39" t="s">
        <v>31</v>
      </c>
      <c r="F8" s="33"/>
      <c r="G8" s="24"/>
      <c r="H8" s="25"/>
      <c r="I8" s="24"/>
      <c r="J8" s="22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</row>
    <row r="9" spans="1:256" ht="87.4" customHeight="1">
      <c r="A9" s="41"/>
      <c r="B9" s="31" t="s">
        <v>32</v>
      </c>
      <c r="C9" s="37" t="s">
        <v>25</v>
      </c>
      <c r="D9" s="38">
        <f>SUM(D8+1)</f>
        <v>2</v>
      </c>
      <c r="E9" s="42" t="s">
        <v>33</v>
      </c>
      <c r="F9" s="33" t="s">
        <v>14</v>
      </c>
      <c r="G9" s="24" t="s">
        <v>34</v>
      </c>
      <c r="H9" s="25"/>
      <c r="I9" s="24"/>
      <c r="J9" s="26" t="s">
        <v>35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</row>
    <row r="10" spans="1:256" ht="54" customHeight="1">
      <c r="A10" s="35"/>
      <c r="B10" s="31" t="s">
        <v>32</v>
      </c>
      <c r="C10" s="37" t="s">
        <v>25</v>
      </c>
      <c r="D10" s="38">
        <f t="shared" ref="D10:D12" si="0">SUM(D9+1)</f>
        <v>3</v>
      </c>
      <c r="E10" s="39" t="s">
        <v>36</v>
      </c>
      <c r="F10" s="33"/>
      <c r="G10" s="24"/>
      <c r="H10" s="25"/>
      <c r="I10" s="24"/>
      <c r="J10" s="22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</row>
    <row r="11" spans="1:256" ht="54" customHeight="1">
      <c r="A11" s="35"/>
      <c r="B11" s="31" t="s">
        <v>32</v>
      </c>
      <c r="C11" s="37" t="s">
        <v>25</v>
      </c>
      <c r="D11" s="38">
        <f t="shared" si="0"/>
        <v>4</v>
      </c>
      <c r="E11" s="183" t="s">
        <v>37</v>
      </c>
      <c r="F11" s="33"/>
      <c r="G11" s="24"/>
      <c r="H11" s="25"/>
      <c r="I11" s="24"/>
      <c r="J11" s="22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</row>
    <row r="12" spans="1:256" ht="70.150000000000006" customHeight="1">
      <c r="A12" s="41"/>
      <c r="B12" s="31" t="s">
        <v>32</v>
      </c>
      <c r="C12" s="37" t="s">
        <v>25</v>
      </c>
      <c r="D12" s="38">
        <f t="shared" si="0"/>
        <v>5</v>
      </c>
      <c r="E12" s="39" t="s">
        <v>38</v>
      </c>
      <c r="F12" s="33"/>
      <c r="G12" s="24" t="s">
        <v>34</v>
      </c>
      <c r="H12" s="25"/>
      <c r="I12" s="24"/>
      <c r="J12" s="184" t="s">
        <v>39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</row>
    <row r="13" spans="1:256" ht="54" customHeight="1">
      <c r="A13" s="41"/>
      <c r="B13" s="31" t="s">
        <v>32</v>
      </c>
      <c r="C13" s="37" t="s">
        <v>25</v>
      </c>
      <c r="D13" s="38">
        <f t="shared" ref="D13:D26" si="1">SUM(D12+1)</f>
        <v>6</v>
      </c>
      <c r="E13" s="44" t="s">
        <v>40</v>
      </c>
      <c r="F13" s="33"/>
      <c r="G13" s="24" t="s">
        <v>34</v>
      </c>
      <c r="H13" s="25"/>
      <c r="I13" s="24"/>
      <c r="J13" s="26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</row>
    <row r="14" spans="1:256" ht="54" customHeight="1">
      <c r="A14" s="41"/>
      <c r="B14" s="31" t="s">
        <v>32</v>
      </c>
      <c r="C14" s="37" t="s">
        <v>25</v>
      </c>
      <c r="D14" s="38">
        <f t="shared" si="1"/>
        <v>7</v>
      </c>
      <c r="E14" s="44" t="s">
        <v>41</v>
      </c>
      <c r="F14" s="33"/>
      <c r="G14" s="24" t="s">
        <v>34</v>
      </c>
      <c r="H14" s="25"/>
      <c r="I14" s="24"/>
      <c r="J14" s="26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</row>
    <row r="15" spans="1:256" ht="54" customHeight="1">
      <c r="A15" s="45"/>
      <c r="B15" s="46" t="s">
        <v>32</v>
      </c>
      <c r="C15" s="47" t="s">
        <v>25</v>
      </c>
      <c r="D15" s="48">
        <f t="shared" si="1"/>
        <v>8</v>
      </c>
      <c r="E15" s="49" t="s">
        <v>42</v>
      </c>
      <c r="F15" s="50" t="s">
        <v>14</v>
      </c>
      <c r="G15" s="51"/>
      <c r="H15" s="52"/>
      <c r="I15" s="51"/>
      <c r="J15" s="53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</row>
    <row r="16" spans="1:256" ht="171.4" customHeight="1">
      <c r="A16" s="41"/>
      <c r="B16" s="31" t="s">
        <v>32</v>
      </c>
      <c r="C16" s="37" t="s">
        <v>25</v>
      </c>
      <c r="D16" s="54">
        <f t="shared" si="1"/>
        <v>9</v>
      </c>
      <c r="E16" s="55"/>
      <c r="F16" s="33" t="s">
        <v>27</v>
      </c>
      <c r="G16" s="24"/>
      <c r="H16" s="25"/>
      <c r="I16" s="24"/>
      <c r="J16" s="26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</row>
    <row r="17" spans="1:256" ht="54" customHeight="1">
      <c r="A17" s="41"/>
      <c r="B17" s="31" t="s">
        <v>32</v>
      </c>
      <c r="C17" s="37" t="s">
        <v>25</v>
      </c>
      <c r="D17" s="54">
        <f t="shared" si="1"/>
        <v>10</v>
      </c>
      <c r="E17" s="55" t="s">
        <v>43</v>
      </c>
      <c r="F17" s="33" t="s">
        <v>27</v>
      </c>
      <c r="G17" s="24"/>
      <c r="H17" s="25"/>
      <c r="I17" s="24"/>
      <c r="J17" s="56" t="s">
        <v>44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</row>
    <row r="18" spans="1:256" ht="73.5" customHeight="1">
      <c r="A18" s="41"/>
      <c r="B18" s="31" t="s">
        <v>32</v>
      </c>
      <c r="C18" s="37" t="s">
        <v>25</v>
      </c>
      <c r="D18" s="54">
        <f t="shared" si="1"/>
        <v>11</v>
      </c>
      <c r="E18" s="55" t="s">
        <v>45</v>
      </c>
      <c r="F18" s="33" t="s">
        <v>27</v>
      </c>
      <c r="G18" s="24" t="s">
        <v>34</v>
      </c>
      <c r="H18" s="25"/>
      <c r="I18" s="24"/>
      <c r="J18" s="56" t="s">
        <v>46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</row>
    <row r="19" spans="1:256" ht="54" customHeight="1">
      <c r="A19" s="41"/>
      <c r="B19" s="31" t="s">
        <v>32</v>
      </c>
      <c r="C19" s="37" t="s">
        <v>25</v>
      </c>
      <c r="D19" s="54">
        <f t="shared" si="1"/>
        <v>12</v>
      </c>
      <c r="E19" s="55" t="s">
        <v>47</v>
      </c>
      <c r="F19" s="33" t="s">
        <v>27</v>
      </c>
      <c r="G19" s="24"/>
      <c r="H19" s="25"/>
      <c r="I19" s="24"/>
      <c r="J19" s="56" t="s">
        <v>48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</row>
    <row r="20" spans="1:256" ht="54" customHeight="1">
      <c r="A20" s="41"/>
      <c r="B20" s="31" t="s">
        <v>32</v>
      </c>
      <c r="C20" s="37" t="s">
        <v>25</v>
      </c>
      <c r="D20" s="54">
        <f t="shared" si="1"/>
        <v>13</v>
      </c>
      <c r="E20" s="55" t="s">
        <v>49</v>
      </c>
      <c r="F20" s="33" t="s">
        <v>27</v>
      </c>
      <c r="G20" s="24" t="s">
        <v>34</v>
      </c>
      <c r="H20" s="25" t="s">
        <v>50</v>
      </c>
      <c r="I20" s="24" t="s">
        <v>51</v>
      </c>
      <c r="J20" s="56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</row>
    <row r="21" spans="1:256" ht="54" customHeight="1">
      <c r="A21" s="41"/>
      <c r="B21" s="31" t="s">
        <v>32</v>
      </c>
      <c r="C21" s="37" t="s">
        <v>25</v>
      </c>
      <c r="D21" s="54">
        <f t="shared" si="1"/>
        <v>14</v>
      </c>
      <c r="E21" s="139" t="s">
        <v>52</v>
      </c>
      <c r="F21" s="33"/>
      <c r="G21" s="24" t="s">
        <v>34</v>
      </c>
      <c r="H21" s="25"/>
      <c r="I21" s="24"/>
      <c r="J21" s="56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</row>
    <row r="22" spans="1:256" ht="54" customHeight="1">
      <c r="A22" s="41"/>
      <c r="B22" s="31" t="s">
        <v>32</v>
      </c>
      <c r="C22" s="37" t="s">
        <v>25</v>
      </c>
      <c r="D22" s="54">
        <f t="shared" si="1"/>
        <v>15</v>
      </c>
      <c r="E22" s="139" t="s">
        <v>53</v>
      </c>
      <c r="F22" s="33"/>
      <c r="G22" s="24"/>
      <c r="H22" s="25" t="s">
        <v>50</v>
      </c>
      <c r="I22" s="24"/>
      <c r="J22" s="56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</row>
    <row r="23" spans="1:256" ht="54" customHeight="1">
      <c r="A23" s="41"/>
      <c r="B23" s="31" t="s">
        <v>32</v>
      </c>
      <c r="C23" s="37" t="s">
        <v>25</v>
      </c>
      <c r="D23" s="54">
        <f t="shared" si="1"/>
        <v>16</v>
      </c>
      <c r="E23" s="55" t="s">
        <v>54</v>
      </c>
      <c r="F23" s="33" t="s">
        <v>27</v>
      </c>
      <c r="G23" s="24" t="s">
        <v>34</v>
      </c>
      <c r="H23" s="25" t="s">
        <v>50</v>
      </c>
      <c r="I23" s="24" t="s">
        <v>51</v>
      </c>
      <c r="J23" s="56" t="s">
        <v>55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</row>
    <row r="24" spans="1:256" ht="54" customHeight="1">
      <c r="A24" s="185" t="s">
        <v>32</v>
      </c>
      <c r="B24" s="185" t="s">
        <v>32</v>
      </c>
      <c r="C24" s="186" t="s">
        <v>25</v>
      </c>
      <c r="D24" s="187">
        <f t="shared" si="1"/>
        <v>17</v>
      </c>
      <c r="E24" s="188" t="s">
        <v>56</v>
      </c>
      <c r="F24" s="189"/>
      <c r="G24" s="190" t="s">
        <v>34</v>
      </c>
      <c r="H24" s="191"/>
      <c r="I24" s="192"/>
      <c r="J24" s="193" t="s">
        <v>57</v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</row>
    <row r="25" spans="1:256" ht="54" customHeight="1">
      <c r="A25" s="185"/>
      <c r="B25" s="185"/>
      <c r="C25" s="186" t="s">
        <v>25</v>
      </c>
      <c r="D25" s="187">
        <f t="shared" si="1"/>
        <v>18</v>
      </c>
      <c r="E25" s="194" t="s">
        <v>58</v>
      </c>
      <c r="F25" s="189"/>
      <c r="G25" s="192" t="s">
        <v>34</v>
      </c>
      <c r="H25" s="191"/>
      <c r="I25" s="192"/>
      <c r="J25" s="193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</row>
    <row r="26" spans="1:256" ht="121.7" customHeight="1">
      <c r="A26" s="185" t="s">
        <v>32</v>
      </c>
      <c r="B26" s="185" t="s">
        <v>32</v>
      </c>
      <c r="C26" s="186" t="s">
        <v>25</v>
      </c>
      <c r="D26" s="187">
        <f t="shared" si="1"/>
        <v>19</v>
      </c>
      <c r="E26" s="194" t="s">
        <v>59</v>
      </c>
      <c r="F26" s="189"/>
      <c r="G26" s="192" t="s">
        <v>34</v>
      </c>
      <c r="H26" s="191"/>
      <c r="I26" s="192"/>
      <c r="J26" s="193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</row>
    <row r="27" spans="1:256" ht="54" customHeight="1">
      <c r="A27" s="195" t="s">
        <v>32</v>
      </c>
      <c r="B27" s="195" t="s">
        <v>32</v>
      </c>
      <c r="C27" s="196" t="s">
        <v>25</v>
      </c>
      <c r="D27" s="197">
        <f t="shared" ref="D27:D99" si="2">SUM(D26+1)</f>
        <v>20</v>
      </c>
      <c r="E27" s="198" t="s">
        <v>60</v>
      </c>
      <c r="F27" s="199"/>
      <c r="G27" s="200"/>
      <c r="H27" s="201" t="s">
        <v>50</v>
      </c>
      <c r="I27" s="200"/>
      <c r="J27" s="202" t="s">
        <v>61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</row>
    <row r="28" spans="1:256" ht="54" customHeight="1">
      <c r="A28" s="195"/>
      <c r="B28" s="195"/>
      <c r="C28" s="196" t="s">
        <v>25</v>
      </c>
      <c r="D28" s="197">
        <f t="shared" si="2"/>
        <v>21</v>
      </c>
      <c r="E28" s="203" t="s">
        <v>62</v>
      </c>
      <c r="F28" s="199"/>
      <c r="G28" s="200"/>
      <c r="H28" s="204" t="s">
        <v>50</v>
      </c>
      <c r="I28" s="200"/>
      <c r="J28" s="202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</row>
    <row r="29" spans="1:256" ht="165" customHeight="1">
      <c r="A29" s="195"/>
      <c r="B29" s="195"/>
      <c r="C29" s="196" t="s">
        <v>25</v>
      </c>
      <c r="D29" s="197">
        <f t="shared" si="2"/>
        <v>22</v>
      </c>
      <c r="E29" s="203" t="s">
        <v>59</v>
      </c>
      <c r="F29" s="199"/>
      <c r="G29" s="200"/>
      <c r="H29" s="204" t="s">
        <v>50</v>
      </c>
      <c r="I29" s="200"/>
      <c r="J29" s="202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</row>
    <row r="30" spans="1:256" ht="54" customHeight="1">
      <c r="A30" s="57"/>
      <c r="B30" s="46"/>
      <c r="C30" s="47" t="s">
        <v>25</v>
      </c>
      <c r="D30" s="58">
        <f t="shared" si="2"/>
        <v>23</v>
      </c>
      <c r="E30" s="59" t="s">
        <v>63</v>
      </c>
      <c r="F30" s="50"/>
      <c r="G30" s="51"/>
      <c r="H30" s="60"/>
      <c r="I30" s="61"/>
      <c r="J30" s="53"/>
      <c r="K30" s="27"/>
      <c r="L30" s="27"/>
      <c r="M30" s="27"/>
      <c r="N30" s="27"/>
      <c r="O30" s="27"/>
      <c r="P30" s="27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28"/>
      <c r="GH30" s="28"/>
      <c r="GI30" s="28"/>
      <c r="GJ30" s="28"/>
      <c r="GK30" s="28"/>
      <c r="GL30" s="28"/>
      <c r="GM30" s="28"/>
      <c r="GN30" s="28"/>
      <c r="GO30" s="28"/>
      <c r="GP30" s="28"/>
      <c r="GQ30" s="28"/>
      <c r="GR30" s="28"/>
      <c r="GS30" s="28"/>
      <c r="GT30" s="28"/>
      <c r="GU30" s="28"/>
      <c r="GV30" s="28"/>
      <c r="GW30" s="28"/>
      <c r="GX30" s="28"/>
      <c r="GY30" s="28"/>
      <c r="GZ30" s="28"/>
      <c r="HA30" s="28"/>
      <c r="HB30" s="28"/>
      <c r="HC30" s="28"/>
      <c r="HD30" s="28"/>
      <c r="HE30" s="28"/>
      <c r="HF30" s="28"/>
      <c r="HG30" s="28"/>
      <c r="HH30" s="28"/>
      <c r="HI30" s="28"/>
      <c r="HJ30" s="28"/>
      <c r="HK30" s="28"/>
      <c r="HL30" s="28"/>
      <c r="HM30" s="28"/>
      <c r="HN30" s="28"/>
      <c r="HO30" s="28"/>
      <c r="HP30" s="28"/>
      <c r="HQ30" s="28"/>
      <c r="HR30" s="28"/>
      <c r="HS30" s="28"/>
      <c r="HT30" s="28"/>
      <c r="HU30" s="28"/>
      <c r="HV30" s="28"/>
      <c r="HW30" s="28"/>
      <c r="HX30" s="28"/>
      <c r="HY30" s="28"/>
      <c r="HZ30" s="28"/>
      <c r="IA30" s="28"/>
      <c r="IB30" s="28"/>
      <c r="IC30" s="28"/>
      <c r="ID30" s="28"/>
      <c r="IE30" s="28"/>
      <c r="IF30" s="28"/>
      <c r="IG30" s="28"/>
      <c r="IH30" s="28"/>
      <c r="II30" s="28"/>
      <c r="IJ30" s="28"/>
      <c r="IK30" s="28"/>
      <c r="IL30" s="28"/>
      <c r="IM30" s="28"/>
      <c r="IN30" s="28"/>
      <c r="IO30" s="28"/>
      <c r="IP30" s="28"/>
      <c r="IQ30" s="28"/>
      <c r="IR30" s="28"/>
      <c r="IS30" s="28"/>
      <c r="IT30" s="28"/>
      <c r="IU30" s="28"/>
      <c r="IV30" s="28"/>
    </row>
    <row r="31" spans="1:256" ht="54" customHeight="1">
      <c r="A31" s="41"/>
      <c r="B31" s="31" t="s">
        <v>32</v>
      </c>
      <c r="C31" s="37" t="s">
        <v>25</v>
      </c>
      <c r="D31" s="38">
        <f t="shared" si="2"/>
        <v>24</v>
      </c>
      <c r="E31" s="39" t="s">
        <v>64</v>
      </c>
      <c r="F31" s="62"/>
      <c r="G31" s="24" t="s">
        <v>34</v>
      </c>
      <c r="H31" s="25"/>
      <c r="I31" s="24"/>
      <c r="J31" s="26" t="s">
        <v>65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</row>
    <row r="32" spans="1:256" ht="54" customHeight="1">
      <c r="A32" s="41"/>
      <c r="B32" s="31" t="s">
        <v>32</v>
      </c>
      <c r="C32" s="37" t="s">
        <v>25</v>
      </c>
      <c r="D32" s="38">
        <f t="shared" si="2"/>
        <v>25</v>
      </c>
      <c r="E32" s="39" t="s">
        <v>66</v>
      </c>
      <c r="F32" s="33"/>
      <c r="G32" s="24" t="s">
        <v>34</v>
      </c>
      <c r="H32" s="63"/>
      <c r="I32" s="64"/>
      <c r="J32" s="26"/>
      <c r="K32" s="27"/>
      <c r="L32" s="27"/>
      <c r="M32" s="27"/>
      <c r="N32" s="27"/>
      <c r="O32" s="27"/>
      <c r="P32" s="27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8"/>
      <c r="GY32" s="28"/>
      <c r="GZ32" s="28"/>
      <c r="HA32" s="28"/>
      <c r="HB32" s="28"/>
      <c r="HC32" s="28"/>
      <c r="HD32" s="28"/>
      <c r="HE32" s="28"/>
      <c r="HF32" s="28"/>
      <c r="HG32" s="28"/>
      <c r="HH32" s="28"/>
      <c r="HI32" s="28"/>
      <c r="HJ32" s="28"/>
      <c r="HK32" s="28"/>
      <c r="HL32" s="28"/>
      <c r="HM32" s="28"/>
      <c r="HN32" s="28"/>
      <c r="HO32" s="28"/>
      <c r="HP32" s="28"/>
      <c r="HQ32" s="28"/>
      <c r="HR32" s="28"/>
      <c r="HS32" s="28"/>
      <c r="HT32" s="28"/>
      <c r="HU32" s="28"/>
      <c r="HV32" s="28"/>
      <c r="HW32" s="28"/>
      <c r="HX32" s="28"/>
      <c r="HY32" s="28"/>
      <c r="HZ32" s="28"/>
      <c r="IA32" s="28"/>
      <c r="IB32" s="28"/>
      <c r="IC32" s="28"/>
      <c r="ID32" s="28"/>
      <c r="IE32" s="28"/>
      <c r="IF32" s="28"/>
      <c r="IG32" s="28"/>
      <c r="IH32" s="28"/>
      <c r="II32" s="28"/>
      <c r="IJ32" s="28"/>
      <c r="IK32" s="28"/>
      <c r="IL32" s="28"/>
      <c r="IM32" s="28"/>
      <c r="IN32" s="28"/>
      <c r="IO32" s="28"/>
      <c r="IP32" s="28"/>
      <c r="IQ32" s="28"/>
      <c r="IR32" s="28"/>
      <c r="IS32" s="28"/>
      <c r="IT32" s="28"/>
      <c r="IU32" s="28"/>
      <c r="IV32" s="28"/>
    </row>
    <row r="33" spans="1:256" ht="54" customHeight="1">
      <c r="A33" s="41"/>
      <c r="B33" s="31" t="s">
        <v>32</v>
      </c>
      <c r="C33" s="37" t="s">
        <v>25</v>
      </c>
      <c r="D33" s="38">
        <f t="shared" si="2"/>
        <v>26</v>
      </c>
      <c r="E33" s="39" t="s">
        <v>67</v>
      </c>
      <c r="F33" s="33"/>
      <c r="G33" s="24" t="s">
        <v>34</v>
      </c>
      <c r="H33" s="63"/>
      <c r="I33" s="64"/>
      <c r="J33" s="26" t="s">
        <v>68</v>
      </c>
      <c r="K33" s="27"/>
      <c r="L33" s="27"/>
      <c r="M33" s="27"/>
      <c r="N33" s="27"/>
      <c r="O33" s="27"/>
      <c r="P33" s="27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/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/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  <c r="IJ33" s="28"/>
      <c r="IK33" s="28"/>
      <c r="IL33" s="28"/>
      <c r="IM33" s="28"/>
      <c r="IN33" s="28"/>
      <c r="IO33" s="28"/>
      <c r="IP33" s="28"/>
      <c r="IQ33" s="28"/>
      <c r="IR33" s="28"/>
      <c r="IS33" s="28"/>
      <c r="IT33" s="28"/>
      <c r="IU33" s="28"/>
      <c r="IV33" s="28"/>
    </row>
    <row r="34" spans="1:256" ht="54" customHeight="1">
      <c r="A34" s="41"/>
      <c r="B34" s="31"/>
      <c r="C34" s="37" t="s">
        <v>25</v>
      </c>
      <c r="D34" s="38">
        <f t="shared" si="2"/>
        <v>27</v>
      </c>
      <c r="E34" s="177" t="s">
        <v>69</v>
      </c>
      <c r="F34" s="33"/>
      <c r="G34" s="24"/>
      <c r="H34" s="63"/>
      <c r="I34" s="64"/>
      <c r="J34" s="26"/>
      <c r="K34" s="27"/>
      <c r="L34" s="27"/>
      <c r="M34" s="27"/>
      <c r="N34" s="27"/>
      <c r="O34" s="27"/>
      <c r="P34" s="27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  <c r="GH34" s="28"/>
      <c r="GI34" s="28"/>
      <c r="GJ34" s="28"/>
      <c r="GK34" s="28"/>
      <c r="GL34" s="28"/>
      <c r="GM34" s="28"/>
      <c r="GN34" s="28"/>
      <c r="GO34" s="28"/>
      <c r="GP34" s="28"/>
      <c r="GQ34" s="28"/>
      <c r="GR34" s="28"/>
      <c r="GS34" s="28"/>
      <c r="GT34" s="28"/>
      <c r="GU34" s="28"/>
      <c r="GV34" s="28"/>
      <c r="GW34" s="28"/>
      <c r="GX34" s="28"/>
      <c r="GY34" s="28"/>
      <c r="GZ34" s="28"/>
      <c r="HA34" s="28"/>
      <c r="HB34" s="28"/>
      <c r="HC34" s="28"/>
      <c r="HD34" s="28"/>
      <c r="HE34" s="28"/>
      <c r="HF34" s="28"/>
      <c r="HG34" s="28"/>
      <c r="HH34" s="28"/>
      <c r="HI34" s="28"/>
      <c r="HJ34" s="28"/>
      <c r="HK34" s="28"/>
      <c r="HL34" s="28"/>
      <c r="HM34" s="28"/>
      <c r="HN34" s="28"/>
      <c r="HO34" s="28"/>
      <c r="HP34" s="28"/>
      <c r="HQ34" s="28"/>
      <c r="HR34" s="28"/>
      <c r="HS34" s="28"/>
      <c r="HT34" s="28"/>
      <c r="HU34" s="28"/>
      <c r="HV34" s="28"/>
      <c r="HW34" s="28"/>
      <c r="HX34" s="28"/>
      <c r="HY34" s="28"/>
      <c r="HZ34" s="28"/>
      <c r="IA34" s="28"/>
      <c r="IB34" s="28"/>
      <c r="IC34" s="28"/>
      <c r="ID34" s="28"/>
      <c r="IE34" s="28"/>
      <c r="IF34" s="28"/>
      <c r="IG34" s="28"/>
      <c r="IH34" s="28"/>
      <c r="II34" s="28"/>
      <c r="IJ34" s="28"/>
      <c r="IK34" s="28"/>
      <c r="IL34" s="28"/>
      <c r="IM34" s="28"/>
      <c r="IN34" s="28"/>
      <c r="IO34" s="28"/>
      <c r="IP34" s="28"/>
      <c r="IQ34" s="28"/>
      <c r="IR34" s="28"/>
      <c r="IS34" s="28"/>
      <c r="IT34" s="28"/>
      <c r="IU34" s="28"/>
      <c r="IV34" s="28"/>
    </row>
    <row r="35" spans="1:256" ht="54" customHeight="1">
      <c r="A35" s="41"/>
      <c r="B35" s="31" t="s">
        <v>32</v>
      </c>
      <c r="C35" s="37" t="s">
        <v>25</v>
      </c>
      <c r="D35" s="38">
        <f t="shared" si="2"/>
        <v>28</v>
      </c>
      <c r="E35" s="39" t="s">
        <v>70</v>
      </c>
      <c r="F35" s="33"/>
      <c r="G35" s="24" t="s">
        <v>34</v>
      </c>
      <c r="H35" s="63"/>
      <c r="I35" s="64"/>
      <c r="J35" s="26"/>
      <c r="K35" s="27"/>
      <c r="L35" s="27"/>
      <c r="M35" s="27"/>
      <c r="N35" s="27"/>
      <c r="O35" s="27"/>
      <c r="P35" s="27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  <c r="GG35" s="28"/>
      <c r="GH35" s="28"/>
      <c r="GI35" s="28"/>
      <c r="GJ35" s="28"/>
      <c r="GK35" s="28"/>
      <c r="GL35" s="28"/>
      <c r="GM35" s="28"/>
      <c r="GN35" s="28"/>
      <c r="GO35" s="28"/>
      <c r="GP35" s="28"/>
      <c r="GQ35" s="28"/>
      <c r="GR35" s="28"/>
      <c r="GS35" s="28"/>
      <c r="GT35" s="28"/>
      <c r="GU35" s="28"/>
      <c r="GV35" s="28"/>
      <c r="GW35" s="28"/>
      <c r="GX35" s="28"/>
      <c r="GY35" s="28"/>
      <c r="GZ35" s="28"/>
      <c r="HA35" s="28"/>
      <c r="HB35" s="28"/>
      <c r="HC35" s="28"/>
      <c r="HD35" s="28"/>
      <c r="HE35" s="28"/>
      <c r="HF35" s="28"/>
      <c r="HG35" s="28"/>
      <c r="HH35" s="28"/>
      <c r="HI35" s="28"/>
      <c r="HJ35" s="28"/>
      <c r="HK35" s="28"/>
      <c r="HL35" s="28"/>
      <c r="HM35" s="28"/>
      <c r="HN35" s="28"/>
      <c r="HO35" s="28"/>
      <c r="HP35" s="28"/>
      <c r="HQ35" s="28"/>
      <c r="HR35" s="28"/>
      <c r="HS35" s="28"/>
      <c r="HT35" s="28"/>
      <c r="HU35" s="28"/>
      <c r="HV35" s="28"/>
      <c r="HW35" s="28"/>
      <c r="HX35" s="28"/>
      <c r="HY35" s="28"/>
      <c r="HZ35" s="28"/>
      <c r="IA35" s="28"/>
      <c r="IB35" s="28"/>
      <c r="IC35" s="28"/>
      <c r="ID35" s="28"/>
      <c r="IE35" s="28"/>
      <c r="IF35" s="28"/>
      <c r="IG35" s="28"/>
      <c r="IH35" s="28"/>
      <c r="II35" s="28"/>
      <c r="IJ35" s="28"/>
      <c r="IK35" s="28"/>
      <c r="IL35" s="28"/>
      <c r="IM35" s="28"/>
      <c r="IN35" s="28"/>
      <c r="IO35" s="28"/>
      <c r="IP35" s="28"/>
      <c r="IQ35" s="28"/>
      <c r="IR35" s="28"/>
      <c r="IS35" s="28"/>
      <c r="IT35" s="28"/>
      <c r="IU35" s="28"/>
      <c r="IV35" s="28"/>
    </row>
    <row r="36" spans="1:256" ht="111.75" customHeight="1">
      <c r="A36" s="41"/>
      <c r="B36" s="31"/>
      <c r="C36" s="37" t="s">
        <v>25</v>
      </c>
      <c r="D36" s="38">
        <f t="shared" si="2"/>
        <v>29</v>
      </c>
      <c r="E36" s="39"/>
      <c r="F36" s="33"/>
      <c r="G36" s="24" t="s">
        <v>34</v>
      </c>
      <c r="H36" s="63"/>
      <c r="I36" s="64"/>
      <c r="J36" s="26"/>
      <c r="K36" s="27"/>
      <c r="L36" s="27"/>
      <c r="M36" s="27"/>
      <c r="N36" s="27"/>
      <c r="O36" s="27"/>
      <c r="P36" s="27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  <c r="GH36" s="28"/>
      <c r="GI36" s="28"/>
      <c r="GJ36" s="28"/>
      <c r="GK36" s="28"/>
      <c r="GL36" s="28"/>
      <c r="GM36" s="28"/>
      <c r="GN36" s="28"/>
      <c r="GO36" s="28"/>
      <c r="GP36" s="28"/>
      <c r="GQ36" s="28"/>
      <c r="GR36" s="28"/>
      <c r="GS36" s="28"/>
      <c r="GT36" s="28"/>
      <c r="GU36" s="28"/>
      <c r="GV36" s="28"/>
      <c r="GW36" s="28"/>
      <c r="GX36" s="28"/>
      <c r="GY36" s="28"/>
      <c r="GZ36" s="28"/>
      <c r="HA36" s="28"/>
      <c r="HB36" s="28"/>
      <c r="HC36" s="28"/>
      <c r="HD36" s="28"/>
      <c r="HE36" s="28"/>
      <c r="HF36" s="28"/>
      <c r="HG36" s="28"/>
      <c r="HH36" s="28"/>
      <c r="HI36" s="28"/>
      <c r="HJ36" s="28"/>
      <c r="HK36" s="28"/>
      <c r="HL36" s="28"/>
      <c r="HM36" s="28"/>
      <c r="HN36" s="28"/>
      <c r="HO36" s="28"/>
      <c r="HP36" s="28"/>
      <c r="HQ36" s="28"/>
      <c r="HR36" s="28"/>
      <c r="HS36" s="28"/>
      <c r="HT36" s="28"/>
      <c r="HU36" s="28"/>
      <c r="HV36" s="28"/>
      <c r="HW36" s="28"/>
      <c r="HX36" s="28"/>
      <c r="HY36" s="28"/>
      <c r="HZ36" s="28"/>
      <c r="IA36" s="28"/>
      <c r="IB36" s="28"/>
      <c r="IC36" s="28"/>
      <c r="ID36" s="28"/>
      <c r="IE36" s="28"/>
      <c r="IF36" s="28"/>
      <c r="IG36" s="28"/>
      <c r="IH36" s="28"/>
      <c r="II36" s="28"/>
      <c r="IJ36" s="28"/>
      <c r="IK36" s="28"/>
      <c r="IL36" s="28"/>
      <c r="IM36" s="28"/>
      <c r="IN36" s="28"/>
      <c r="IO36" s="28"/>
      <c r="IP36" s="28"/>
      <c r="IQ36" s="28"/>
      <c r="IR36" s="28"/>
      <c r="IS36" s="28"/>
      <c r="IT36" s="28"/>
      <c r="IU36" s="28"/>
      <c r="IV36" s="28"/>
    </row>
    <row r="37" spans="1:256" ht="107.65" customHeight="1">
      <c r="A37" s="41"/>
      <c r="B37" s="31"/>
      <c r="C37" s="37" t="s">
        <v>25</v>
      </c>
      <c r="D37" s="38">
        <f t="shared" si="2"/>
        <v>30</v>
      </c>
      <c r="E37" s="39" t="s">
        <v>71</v>
      </c>
      <c r="F37" s="33"/>
      <c r="G37" s="24" t="s">
        <v>34</v>
      </c>
      <c r="H37" s="63"/>
      <c r="I37" s="64"/>
      <c r="J37" s="26"/>
      <c r="K37" s="27"/>
      <c r="L37" s="27"/>
      <c r="M37" s="27"/>
      <c r="N37" s="27"/>
      <c r="O37" s="27"/>
      <c r="P37" s="27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  <c r="FS37" s="28"/>
      <c r="FT37" s="28"/>
      <c r="FU37" s="28"/>
      <c r="FV37" s="28"/>
      <c r="FW37" s="28"/>
      <c r="FX37" s="28"/>
      <c r="FY37" s="28"/>
      <c r="FZ37" s="28"/>
      <c r="GA37" s="28"/>
      <c r="GB37" s="28"/>
      <c r="GC37" s="28"/>
      <c r="GD37" s="28"/>
      <c r="GE37" s="28"/>
      <c r="GF37" s="28"/>
      <c r="GG37" s="28"/>
      <c r="GH37" s="28"/>
      <c r="GI37" s="28"/>
      <c r="GJ37" s="28"/>
      <c r="GK37" s="28"/>
      <c r="GL37" s="28"/>
      <c r="GM37" s="28"/>
      <c r="GN37" s="28"/>
      <c r="GO37" s="28"/>
      <c r="GP37" s="28"/>
      <c r="GQ37" s="28"/>
      <c r="GR37" s="28"/>
      <c r="GS37" s="28"/>
      <c r="GT37" s="28"/>
      <c r="GU37" s="28"/>
      <c r="GV37" s="28"/>
      <c r="GW37" s="28"/>
      <c r="GX37" s="28"/>
      <c r="GY37" s="28"/>
      <c r="GZ37" s="28"/>
      <c r="HA37" s="28"/>
      <c r="HB37" s="28"/>
      <c r="HC37" s="28"/>
      <c r="HD37" s="28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/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  <c r="IJ37" s="28"/>
      <c r="IK37" s="28"/>
      <c r="IL37" s="28"/>
      <c r="IM37" s="28"/>
      <c r="IN37" s="28"/>
      <c r="IO37" s="28"/>
      <c r="IP37" s="28"/>
      <c r="IQ37" s="28"/>
      <c r="IR37" s="28"/>
      <c r="IS37" s="28"/>
      <c r="IT37" s="28"/>
      <c r="IU37" s="28"/>
      <c r="IV37" s="28"/>
    </row>
    <row r="38" spans="1:256" ht="160.5" customHeight="1">
      <c r="A38" s="41"/>
      <c r="B38" s="31"/>
      <c r="C38" s="37" t="s">
        <v>25</v>
      </c>
      <c r="D38" s="38">
        <f t="shared" si="2"/>
        <v>31</v>
      </c>
      <c r="E38" s="39" t="s">
        <v>71</v>
      </c>
      <c r="F38" s="33"/>
      <c r="G38" s="24" t="s">
        <v>34</v>
      </c>
      <c r="H38" s="63"/>
      <c r="I38" s="64"/>
      <c r="J38" s="26"/>
      <c r="K38" s="27"/>
      <c r="L38" s="27"/>
      <c r="M38" s="27"/>
      <c r="N38" s="27"/>
      <c r="O38" s="27"/>
      <c r="P38" s="27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  <c r="FS38" s="28"/>
      <c r="FT38" s="28"/>
      <c r="FU38" s="28"/>
      <c r="FV38" s="28"/>
      <c r="FW38" s="28"/>
      <c r="FX38" s="28"/>
      <c r="FY38" s="28"/>
      <c r="FZ38" s="28"/>
      <c r="GA38" s="28"/>
      <c r="GB38" s="28"/>
      <c r="GC38" s="28"/>
      <c r="GD38" s="28"/>
      <c r="GE38" s="28"/>
      <c r="GF38" s="28"/>
      <c r="GG38" s="28"/>
      <c r="GH38" s="28"/>
      <c r="GI38" s="28"/>
      <c r="GJ38" s="28"/>
      <c r="GK38" s="28"/>
      <c r="GL38" s="28"/>
      <c r="GM38" s="28"/>
      <c r="GN38" s="28"/>
      <c r="GO38" s="28"/>
      <c r="GP38" s="28"/>
      <c r="GQ38" s="28"/>
      <c r="GR38" s="28"/>
      <c r="GS38" s="28"/>
      <c r="GT38" s="28"/>
      <c r="GU38" s="28"/>
      <c r="GV38" s="28"/>
      <c r="GW38" s="28"/>
      <c r="GX38" s="28"/>
      <c r="GY38" s="28"/>
      <c r="GZ38" s="28"/>
      <c r="HA38" s="28"/>
      <c r="HB38" s="28"/>
      <c r="HC38" s="28"/>
      <c r="HD38" s="28"/>
      <c r="HE38" s="28"/>
      <c r="HF38" s="28"/>
      <c r="HG38" s="28"/>
      <c r="HH38" s="28"/>
      <c r="HI38" s="28"/>
      <c r="HJ38" s="28"/>
      <c r="HK38" s="28"/>
      <c r="HL38" s="28"/>
      <c r="HM38" s="28"/>
      <c r="HN38" s="28"/>
      <c r="HO38" s="28"/>
      <c r="HP38" s="28"/>
      <c r="HQ38" s="28"/>
      <c r="HR38" s="28"/>
      <c r="HS38" s="28"/>
      <c r="HT38" s="28"/>
      <c r="HU38" s="28"/>
      <c r="HV38" s="28"/>
      <c r="HW38" s="28"/>
      <c r="HX38" s="28"/>
      <c r="HY38" s="28"/>
      <c r="HZ38" s="28"/>
      <c r="IA38" s="28"/>
      <c r="IB38" s="28"/>
      <c r="IC38" s="28"/>
      <c r="ID38" s="28"/>
      <c r="IE38" s="28"/>
      <c r="IF38" s="28"/>
      <c r="IG38" s="28"/>
      <c r="IH38" s="28"/>
      <c r="II38" s="28"/>
      <c r="IJ38" s="28"/>
      <c r="IK38" s="28"/>
      <c r="IL38" s="28"/>
      <c r="IM38" s="28"/>
      <c r="IN38" s="28"/>
      <c r="IO38" s="28"/>
      <c r="IP38" s="28"/>
      <c r="IQ38" s="28"/>
      <c r="IR38" s="28"/>
      <c r="IS38" s="28"/>
      <c r="IT38" s="28"/>
      <c r="IU38" s="28"/>
      <c r="IV38" s="28"/>
    </row>
    <row r="39" spans="1:256" ht="141" customHeight="1">
      <c r="A39" s="41"/>
      <c r="B39" s="31"/>
      <c r="C39" s="37" t="s">
        <v>25</v>
      </c>
      <c r="D39" s="38">
        <f t="shared" si="2"/>
        <v>32</v>
      </c>
      <c r="E39" s="39" t="s">
        <v>71</v>
      </c>
      <c r="F39" s="33"/>
      <c r="G39" s="24" t="s">
        <v>34</v>
      </c>
      <c r="H39" s="63"/>
      <c r="I39" s="64"/>
      <c r="J39" s="26"/>
      <c r="K39" s="27"/>
      <c r="L39" s="27"/>
      <c r="M39" s="27"/>
      <c r="N39" s="27"/>
      <c r="O39" s="27"/>
      <c r="P39" s="27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  <c r="FS39" s="28"/>
      <c r="FT39" s="28"/>
      <c r="FU39" s="28"/>
      <c r="FV39" s="28"/>
      <c r="FW39" s="28"/>
      <c r="FX39" s="28"/>
      <c r="FY39" s="28"/>
      <c r="FZ39" s="28"/>
      <c r="GA39" s="28"/>
      <c r="GB39" s="28"/>
      <c r="GC39" s="28"/>
      <c r="GD39" s="28"/>
      <c r="GE39" s="28"/>
      <c r="GF39" s="28"/>
      <c r="GG39" s="28"/>
      <c r="GH39" s="28"/>
      <c r="GI39" s="28"/>
      <c r="GJ39" s="28"/>
      <c r="GK39" s="28"/>
      <c r="GL39" s="28"/>
      <c r="GM39" s="28"/>
      <c r="GN39" s="28"/>
      <c r="GO39" s="28"/>
      <c r="GP39" s="28"/>
      <c r="GQ39" s="28"/>
      <c r="GR39" s="2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28"/>
      <c r="HD39" s="28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28"/>
      <c r="IB39" s="28"/>
      <c r="IC39" s="28"/>
      <c r="ID39" s="28"/>
      <c r="IE39" s="28"/>
      <c r="IF39" s="28"/>
      <c r="IG39" s="28"/>
      <c r="IH39" s="28"/>
      <c r="II39" s="28"/>
      <c r="IJ39" s="28"/>
      <c r="IK39" s="28"/>
      <c r="IL39" s="28"/>
      <c r="IM39" s="28"/>
      <c r="IN39" s="28"/>
      <c r="IO39" s="28"/>
      <c r="IP39" s="28"/>
      <c r="IQ39" s="28"/>
      <c r="IR39" s="28"/>
      <c r="IS39" s="28"/>
      <c r="IT39" s="28"/>
      <c r="IU39" s="28"/>
      <c r="IV39" s="28"/>
    </row>
    <row r="40" spans="1:256" ht="54" customHeight="1">
      <c r="A40" s="41"/>
      <c r="B40" s="31" t="s">
        <v>32</v>
      </c>
      <c r="C40" s="37" t="s">
        <v>25</v>
      </c>
      <c r="D40" s="38">
        <f t="shared" si="2"/>
        <v>33</v>
      </c>
      <c r="E40" s="39" t="s">
        <v>72</v>
      </c>
      <c r="F40" s="33"/>
      <c r="G40" s="24" t="s">
        <v>34</v>
      </c>
      <c r="H40" s="63"/>
      <c r="I40" s="64"/>
      <c r="J40" s="26"/>
      <c r="K40" s="27"/>
      <c r="L40" s="27"/>
      <c r="M40" s="27"/>
      <c r="N40" s="27"/>
      <c r="O40" s="27"/>
      <c r="P40" s="27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  <c r="FS40" s="28"/>
      <c r="FT40" s="28"/>
      <c r="FU40" s="28"/>
      <c r="FV40" s="28"/>
      <c r="FW40" s="28"/>
      <c r="FX40" s="28"/>
      <c r="FY40" s="28"/>
      <c r="FZ40" s="28"/>
      <c r="GA40" s="28"/>
      <c r="GB40" s="28"/>
      <c r="GC40" s="28"/>
      <c r="GD40" s="28"/>
      <c r="GE40" s="28"/>
      <c r="GF40" s="28"/>
      <c r="GG40" s="28"/>
      <c r="GH40" s="28"/>
      <c r="GI40" s="28"/>
      <c r="GJ40" s="28"/>
      <c r="GK40" s="28"/>
      <c r="GL40" s="28"/>
      <c r="GM40" s="28"/>
      <c r="GN40" s="28"/>
      <c r="GO40" s="28"/>
      <c r="GP40" s="28"/>
      <c r="GQ40" s="28"/>
      <c r="GR40" s="28"/>
      <c r="GS40" s="28"/>
      <c r="GT40" s="28"/>
      <c r="GU40" s="28"/>
      <c r="GV40" s="28"/>
      <c r="GW40" s="28"/>
      <c r="GX40" s="28"/>
      <c r="GY40" s="28"/>
      <c r="GZ40" s="28"/>
      <c r="HA40" s="28"/>
      <c r="HB40" s="28"/>
      <c r="HC40" s="28"/>
      <c r="HD40" s="28"/>
      <c r="HE40" s="28"/>
      <c r="HF40" s="28"/>
      <c r="HG40" s="28"/>
      <c r="HH40" s="28"/>
      <c r="HI40" s="28"/>
      <c r="HJ40" s="28"/>
      <c r="HK40" s="28"/>
      <c r="HL40" s="28"/>
      <c r="HM40" s="28"/>
      <c r="HN40" s="28"/>
      <c r="HO40" s="28"/>
      <c r="HP40" s="28"/>
      <c r="HQ40" s="28"/>
      <c r="HR40" s="28"/>
      <c r="HS40" s="28"/>
      <c r="HT40" s="28"/>
      <c r="HU40" s="28"/>
      <c r="HV40" s="28"/>
      <c r="HW40" s="28"/>
      <c r="HX40" s="28"/>
      <c r="HY40" s="28"/>
      <c r="HZ40" s="28"/>
      <c r="IA40" s="28"/>
      <c r="IB40" s="28"/>
      <c r="IC40" s="28"/>
      <c r="ID40" s="28"/>
      <c r="IE40" s="28"/>
      <c r="IF40" s="28"/>
      <c r="IG40" s="28"/>
      <c r="IH40" s="28"/>
      <c r="II40" s="28"/>
      <c r="IJ40" s="28"/>
      <c r="IK40" s="28"/>
      <c r="IL40" s="28"/>
      <c r="IM40" s="28"/>
      <c r="IN40" s="28"/>
      <c r="IO40" s="28"/>
      <c r="IP40" s="28"/>
      <c r="IQ40" s="28"/>
      <c r="IR40" s="28"/>
      <c r="IS40" s="28"/>
      <c r="IT40" s="28"/>
      <c r="IU40" s="28"/>
      <c r="IV40" s="28"/>
    </row>
    <row r="41" spans="1:256" ht="235.7" customHeight="1">
      <c r="A41" s="41"/>
      <c r="B41" s="31" t="s">
        <v>32</v>
      </c>
      <c r="C41" s="37" t="s">
        <v>25</v>
      </c>
      <c r="D41" s="38">
        <f t="shared" si="2"/>
        <v>34</v>
      </c>
      <c r="E41" s="39"/>
      <c r="F41" s="33"/>
      <c r="G41" s="24" t="s">
        <v>34</v>
      </c>
      <c r="H41" s="63"/>
      <c r="I41" s="64"/>
      <c r="J41" s="26"/>
      <c r="K41" s="27"/>
      <c r="L41" s="27"/>
      <c r="M41" s="27"/>
      <c r="N41" s="27"/>
      <c r="O41" s="27"/>
      <c r="P41" s="27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  <c r="FS41" s="28"/>
      <c r="FT41" s="28"/>
      <c r="FU41" s="28"/>
      <c r="FV41" s="28"/>
      <c r="FW41" s="28"/>
      <c r="FX41" s="28"/>
      <c r="FY41" s="28"/>
      <c r="FZ41" s="28"/>
      <c r="GA41" s="28"/>
      <c r="GB41" s="28"/>
      <c r="GC41" s="28"/>
      <c r="GD41" s="28"/>
      <c r="GE41" s="28"/>
      <c r="GF41" s="28"/>
      <c r="GG41" s="28"/>
      <c r="GH41" s="28"/>
      <c r="GI41" s="28"/>
      <c r="GJ41" s="28"/>
      <c r="GK41" s="28"/>
      <c r="GL41" s="28"/>
      <c r="GM41" s="28"/>
      <c r="GN41" s="28"/>
      <c r="GO41" s="28"/>
      <c r="GP41" s="28"/>
      <c r="GQ41" s="28"/>
      <c r="GR41" s="28"/>
      <c r="GS41" s="28"/>
      <c r="GT41" s="28"/>
      <c r="GU41" s="28"/>
      <c r="GV41" s="28"/>
      <c r="GW41" s="28"/>
      <c r="GX41" s="28"/>
      <c r="GY41" s="28"/>
      <c r="GZ41" s="28"/>
      <c r="HA41" s="28"/>
      <c r="HB41" s="28"/>
      <c r="HC41" s="28"/>
      <c r="HD41" s="28"/>
      <c r="HE41" s="28"/>
      <c r="HF41" s="28"/>
      <c r="HG41" s="28"/>
      <c r="HH41" s="28"/>
      <c r="HI41" s="28"/>
      <c r="HJ41" s="28"/>
      <c r="HK41" s="28"/>
      <c r="HL41" s="28"/>
      <c r="HM41" s="28"/>
      <c r="HN41" s="28"/>
      <c r="HO41" s="28"/>
      <c r="HP41" s="28"/>
      <c r="HQ41" s="28"/>
      <c r="HR41" s="28"/>
      <c r="HS41" s="28"/>
      <c r="HT41" s="28"/>
      <c r="HU41" s="28"/>
      <c r="HV41" s="28"/>
      <c r="HW41" s="28"/>
      <c r="HX41" s="28"/>
      <c r="HY41" s="28"/>
      <c r="HZ41" s="28"/>
      <c r="IA41" s="28"/>
      <c r="IB41" s="28"/>
      <c r="IC41" s="28"/>
      <c r="ID41" s="28"/>
      <c r="IE41" s="28"/>
      <c r="IF41" s="28"/>
      <c r="IG41" s="28"/>
      <c r="IH41" s="28"/>
      <c r="II41" s="28"/>
      <c r="IJ41" s="28"/>
      <c r="IK41" s="28"/>
      <c r="IL41" s="28"/>
      <c r="IM41" s="28"/>
      <c r="IN41" s="28"/>
      <c r="IO41" s="28"/>
      <c r="IP41" s="28"/>
      <c r="IQ41" s="28"/>
      <c r="IR41" s="28"/>
      <c r="IS41" s="28"/>
      <c r="IT41" s="28"/>
      <c r="IU41" s="28"/>
      <c r="IV41" s="28"/>
    </row>
    <row r="42" spans="1:256" ht="238.15" customHeight="1">
      <c r="A42" s="41"/>
      <c r="B42" s="31"/>
      <c r="C42" s="37" t="s">
        <v>25</v>
      </c>
      <c r="D42" s="38">
        <f t="shared" si="2"/>
        <v>35</v>
      </c>
      <c r="E42" s="39"/>
      <c r="F42" s="33"/>
      <c r="G42" s="24" t="s">
        <v>34</v>
      </c>
      <c r="H42" s="63"/>
      <c r="I42" s="64"/>
      <c r="J42" s="26"/>
      <c r="K42" s="27"/>
      <c r="L42" s="27"/>
      <c r="M42" s="27"/>
      <c r="N42" s="27"/>
      <c r="O42" s="27"/>
      <c r="P42" s="27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  <c r="FW42" s="28"/>
      <c r="FX42" s="28"/>
      <c r="FY42" s="28"/>
      <c r="FZ42" s="28"/>
      <c r="GA42" s="28"/>
      <c r="GB42" s="28"/>
      <c r="GC42" s="28"/>
      <c r="GD42" s="28"/>
      <c r="GE42" s="28"/>
      <c r="GF42" s="28"/>
      <c r="GG42" s="28"/>
      <c r="GH42" s="28"/>
      <c r="GI42" s="28"/>
      <c r="GJ42" s="28"/>
      <c r="GK42" s="28"/>
      <c r="GL42" s="28"/>
      <c r="GM42" s="28"/>
      <c r="GN42" s="28"/>
      <c r="GO42" s="28"/>
      <c r="GP42" s="28"/>
      <c r="GQ42" s="28"/>
      <c r="GR42" s="28"/>
      <c r="GS42" s="28"/>
      <c r="GT42" s="28"/>
      <c r="GU42" s="28"/>
      <c r="GV42" s="28"/>
      <c r="GW42" s="28"/>
      <c r="GX42" s="28"/>
      <c r="GY42" s="28"/>
      <c r="GZ42" s="28"/>
      <c r="HA42" s="28"/>
      <c r="HB42" s="28"/>
      <c r="HC42" s="28"/>
      <c r="HD42" s="28"/>
      <c r="HE42" s="28"/>
      <c r="HF42" s="28"/>
      <c r="HG42" s="28"/>
      <c r="HH42" s="28"/>
      <c r="HI42" s="28"/>
      <c r="HJ42" s="28"/>
      <c r="HK42" s="28"/>
      <c r="HL42" s="28"/>
      <c r="HM42" s="28"/>
      <c r="HN42" s="28"/>
      <c r="HO42" s="28"/>
      <c r="HP42" s="28"/>
      <c r="HQ42" s="28"/>
      <c r="HR42" s="28"/>
      <c r="HS42" s="28"/>
      <c r="HT42" s="28"/>
      <c r="HU42" s="28"/>
      <c r="HV42" s="28"/>
      <c r="HW42" s="28"/>
      <c r="HX42" s="28"/>
      <c r="HY42" s="28"/>
      <c r="HZ42" s="28"/>
      <c r="IA42" s="28"/>
      <c r="IB42" s="28"/>
      <c r="IC42" s="28"/>
      <c r="ID42" s="28"/>
      <c r="IE42" s="28"/>
      <c r="IF42" s="28"/>
      <c r="IG42" s="28"/>
      <c r="IH42" s="28"/>
      <c r="II42" s="28"/>
      <c r="IJ42" s="28"/>
      <c r="IK42" s="28"/>
      <c r="IL42" s="28"/>
      <c r="IM42" s="28"/>
      <c r="IN42" s="28"/>
      <c r="IO42" s="28"/>
      <c r="IP42" s="28"/>
      <c r="IQ42" s="28"/>
      <c r="IR42" s="28"/>
      <c r="IS42" s="28"/>
      <c r="IT42" s="28"/>
      <c r="IU42" s="28"/>
      <c r="IV42" s="28"/>
    </row>
    <row r="43" spans="1:256" ht="93.2" customHeight="1">
      <c r="A43" s="41"/>
      <c r="B43" s="31" t="s">
        <v>32</v>
      </c>
      <c r="C43" s="37" t="s">
        <v>25</v>
      </c>
      <c r="D43" s="38">
        <f t="shared" si="2"/>
        <v>36</v>
      </c>
      <c r="E43" s="65" t="s">
        <v>73</v>
      </c>
      <c r="F43" s="24"/>
      <c r="G43" s="24" t="s">
        <v>74</v>
      </c>
      <c r="H43" s="24" t="s">
        <v>34</v>
      </c>
      <c r="I43" s="64"/>
      <c r="J43" s="26"/>
      <c r="K43" s="27"/>
      <c r="L43" s="27"/>
      <c r="M43" s="27"/>
      <c r="N43" s="27"/>
      <c r="O43" s="27"/>
      <c r="P43" s="27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  <c r="FS43" s="28"/>
      <c r="FT43" s="28"/>
      <c r="FU43" s="28"/>
      <c r="FV43" s="28"/>
      <c r="FW43" s="28"/>
      <c r="FX43" s="28"/>
      <c r="FY43" s="28"/>
      <c r="FZ43" s="28"/>
      <c r="GA43" s="28"/>
      <c r="GB43" s="28"/>
      <c r="GC43" s="28"/>
      <c r="GD43" s="28"/>
      <c r="GE43" s="28"/>
      <c r="GF43" s="28"/>
      <c r="GG43" s="28"/>
      <c r="GH43" s="28"/>
      <c r="GI43" s="28"/>
      <c r="GJ43" s="28"/>
      <c r="GK43" s="28"/>
      <c r="GL43" s="28"/>
      <c r="GM43" s="28"/>
      <c r="GN43" s="28"/>
      <c r="GO43" s="28"/>
      <c r="GP43" s="28"/>
      <c r="GQ43" s="28"/>
      <c r="GR43" s="28"/>
      <c r="GS43" s="28"/>
      <c r="GT43" s="28"/>
      <c r="GU43" s="28"/>
      <c r="GV43" s="28"/>
      <c r="GW43" s="28"/>
      <c r="GX43" s="28"/>
      <c r="GY43" s="28"/>
      <c r="GZ43" s="28"/>
      <c r="HA43" s="28"/>
      <c r="HB43" s="28"/>
      <c r="HC43" s="28"/>
      <c r="HD43" s="28"/>
      <c r="HE43" s="28"/>
      <c r="HF43" s="28"/>
      <c r="HG43" s="28"/>
      <c r="HH43" s="28"/>
      <c r="HI43" s="28"/>
      <c r="HJ43" s="28"/>
      <c r="HK43" s="28"/>
      <c r="HL43" s="28"/>
      <c r="HM43" s="28"/>
      <c r="HN43" s="28"/>
      <c r="HO43" s="28"/>
      <c r="HP43" s="28"/>
      <c r="HQ43" s="28"/>
      <c r="HR43" s="28"/>
      <c r="HS43" s="28"/>
      <c r="HT43" s="28"/>
      <c r="HU43" s="28"/>
      <c r="HV43" s="28"/>
      <c r="HW43" s="28"/>
      <c r="HX43" s="28"/>
      <c r="HY43" s="28"/>
      <c r="HZ43" s="28"/>
      <c r="IA43" s="28"/>
      <c r="IB43" s="28"/>
      <c r="IC43" s="28"/>
      <c r="ID43" s="28"/>
      <c r="IE43" s="28"/>
      <c r="IF43" s="28"/>
      <c r="IG43" s="28"/>
      <c r="IH43" s="28"/>
      <c r="II43" s="28"/>
      <c r="IJ43" s="28"/>
      <c r="IK43" s="28"/>
      <c r="IL43" s="28"/>
      <c r="IM43" s="28"/>
      <c r="IN43" s="28"/>
      <c r="IO43" s="28"/>
      <c r="IP43" s="28"/>
      <c r="IQ43" s="28"/>
      <c r="IR43" s="28"/>
      <c r="IS43" s="28"/>
      <c r="IT43" s="28"/>
      <c r="IU43" s="28"/>
      <c r="IV43" s="28"/>
    </row>
    <row r="44" spans="1:256" ht="72" customHeight="1">
      <c r="A44" s="41">
        <v>0.39166666666666666</v>
      </c>
      <c r="B44" s="31"/>
      <c r="C44" s="37" t="s">
        <v>25</v>
      </c>
      <c r="D44" s="38">
        <f t="shared" si="2"/>
        <v>37</v>
      </c>
      <c r="E44" s="39" t="s">
        <v>75</v>
      </c>
      <c r="F44" s="33"/>
      <c r="G44" s="24" t="s">
        <v>34</v>
      </c>
      <c r="H44" s="63"/>
      <c r="I44" s="64"/>
      <c r="J44" s="26"/>
      <c r="K44" s="27"/>
      <c r="L44" s="27"/>
      <c r="M44" s="27"/>
      <c r="N44" s="27"/>
      <c r="O44" s="27"/>
      <c r="P44" s="27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  <c r="FM44" s="28"/>
      <c r="FN44" s="28"/>
      <c r="FO44" s="28"/>
      <c r="FP44" s="28"/>
      <c r="FQ44" s="28"/>
      <c r="FR44" s="28"/>
      <c r="FS44" s="28"/>
      <c r="FT44" s="28"/>
      <c r="FU44" s="28"/>
      <c r="FV44" s="28"/>
      <c r="FW44" s="28"/>
      <c r="FX44" s="28"/>
      <c r="FY44" s="28"/>
      <c r="FZ44" s="28"/>
      <c r="GA44" s="28"/>
      <c r="GB44" s="28"/>
      <c r="GC44" s="28"/>
      <c r="GD44" s="28"/>
      <c r="GE44" s="28"/>
      <c r="GF44" s="28"/>
      <c r="GG44" s="28"/>
      <c r="GH44" s="28"/>
      <c r="GI44" s="28"/>
      <c r="GJ44" s="28"/>
      <c r="GK44" s="28"/>
      <c r="GL44" s="28"/>
      <c r="GM44" s="28"/>
      <c r="GN44" s="28"/>
      <c r="GO44" s="28"/>
      <c r="GP44" s="28"/>
      <c r="GQ44" s="28"/>
      <c r="GR44" s="28"/>
      <c r="GS44" s="28"/>
      <c r="GT44" s="28"/>
      <c r="GU44" s="28"/>
      <c r="GV44" s="28"/>
      <c r="GW44" s="28"/>
      <c r="GX44" s="28"/>
      <c r="GY44" s="28"/>
      <c r="GZ44" s="28"/>
      <c r="HA44" s="28"/>
      <c r="HB44" s="28"/>
      <c r="HC44" s="28"/>
      <c r="HD44" s="28"/>
      <c r="HE44" s="28"/>
      <c r="HF44" s="28"/>
      <c r="HG44" s="28"/>
      <c r="HH44" s="28"/>
      <c r="HI44" s="28"/>
      <c r="HJ44" s="28"/>
      <c r="HK44" s="28"/>
      <c r="HL44" s="28"/>
      <c r="HM44" s="28"/>
      <c r="HN44" s="28"/>
      <c r="HO44" s="28"/>
      <c r="HP44" s="28"/>
      <c r="HQ44" s="28"/>
      <c r="HR44" s="28"/>
      <c r="HS44" s="28"/>
      <c r="HT44" s="28"/>
      <c r="HU44" s="28"/>
      <c r="HV44" s="28"/>
      <c r="HW44" s="28"/>
      <c r="HX44" s="28"/>
      <c r="HY44" s="28"/>
      <c r="HZ44" s="28"/>
      <c r="IA44" s="28"/>
      <c r="IB44" s="28"/>
      <c r="IC44" s="28"/>
      <c r="ID44" s="28"/>
      <c r="IE44" s="28"/>
      <c r="IF44" s="28"/>
      <c r="IG44" s="28"/>
      <c r="IH44" s="28"/>
      <c r="II44" s="28"/>
      <c r="IJ44" s="28"/>
      <c r="IK44" s="28"/>
      <c r="IL44" s="28"/>
      <c r="IM44" s="28"/>
      <c r="IN44" s="28"/>
      <c r="IO44" s="28"/>
      <c r="IP44" s="28"/>
      <c r="IQ44" s="28"/>
      <c r="IR44" s="28"/>
      <c r="IS44" s="28"/>
      <c r="IT44" s="28"/>
      <c r="IU44" s="28"/>
      <c r="IV44" s="28"/>
    </row>
    <row r="45" spans="1:256" ht="211.9" customHeight="1">
      <c r="A45" s="41"/>
      <c r="B45" s="31" t="s">
        <v>32</v>
      </c>
      <c r="C45" s="37" t="s">
        <v>25</v>
      </c>
      <c r="D45" s="38">
        <f t="shared" si="2"/>
        <v>38</v>
      </c>
      <c r="E45" s="39"/>
      <c r="F45" s="33"/>
      <c r="G45" s="24" t="s">
        <v>34</v>
      </c>
      <c r="H45" s="63"/>
      <c r="I45" s="64"/>
      <c r="J45" s="26"/>
      <c r="K45" s="27"/>
      <c r="L45" s="27"/>
      <c r="M45" s="27"/>
      <c r="N45" s="27"/>
      <c r="O45" s="27"/>
      <c r="P45" s="27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  <c r="FS45" s="28"/>
      <c r="FT45" s="28"/>
      <c r="FU45" s="28"/>
      <c r="FV45" s="28"/>
      <c r="FW45" s="28"/>
      <c r="FX45" s="28"/>
      <c r="FY45" s="28"/>
      <c r="FZ45" s="28"/>
      <c r="GA45" s="28"/>
      <c r="GB45" s="28"/>
      <c r="GC45" s="28"/>
      <c r="GD45" s="28"/>
      <c r="GE45" s="28"/>
      <c r="GF45" s="28"/>
      <c r="GG45" s="28"/>
      <c r="GH45" s="28"/>
      <c r="GI45" s="28"/>
      <c r="GJ45" s="28"/>
      <c r="GK45" s="28"/>
      <c r="GL45" s="28"/>
      <c r="GM45" s="28"/>
      <c r="GN45" s="28"/>
      <c r="GO45" s="28"/>
      <c r="GP45" s="28"/>
      <c r="GQ45" s="28"/>
      <c r="GR45" s="28"/>
      <c r="GS45" s="28"/>
      <c r="GT45" s="28"/>
      <c r="GU45" s="28"/>
      <c r="GV45" s="28"/>
      <c r="GW45" s="28"/>
      <c r="GX45" s="28"/>
      <c r="GY45" s="28"/>
      <c r="GZ45" s="28"/>
      <c r="HA45" s="28"/>
      <c r="HB45" s="28"/>
      <c r="HC45" s="28"/>
      <c r="HD45" s="28"/>
      <c r="HE45" s="28"/>
      <c r="HF45" s="28"/>
      <c r="HG45" s="28"/>
      <c r="HH45" s="28"/>
      <c r="HI45" s="28"/>
      <c r="HJ45" s="28"/>
      <c r="HK45" s="28"/>
      <c r="HL45" s="28"/>
      <c r="HM45" s="28"/>
      <c r="HN45" s="28"/>
      <c r="HO45" s="28"/>
      <c r="HP45" s="28"/>
      <c r="HQ45" s="28"/>
      <c r="HR45" s="28"/>
      <c r="HS45" s="28"/>
      <c r="HT45" s="28"/>
      <c r="HU45" s="28"/>
      <c r="HV45" s="28"/>
      <c r="HW45" s="28"/>
      <c r="HX45" s="28"/>
      <c r="HY45" s="28"/>
      <c r="HZ45" s="28"/>
      <c r="IA45" s="28"/>
      <c r="IB45" s="28"/>
      <c r="IC45" s="28"/>
      <c r="ID45" s="28"/>
      <c r="IE45" s="28"/>
      <c r="IF45" s="28"/>
      <c r="IG45" s="28"/>
      <c r="IH45" s="28"/>
      <c r="II45" s="28"/>
      <c r="IJ45" s="28"/>
      <c r="IK45" s="28"/>
      <c r="IL45" s="28"/>
      <c r="IM45" s="28"/>
      <c r="IN45" s="28"/>
      <c r="IO45" s="28"/>
      <c r="IP45" s="28"/>
      <c r="IQ45" s="28"/>
      <c r="IR45" s="28"/>
      <c r="IS45" s="28"/>
      <c r="IT45" s="28"/>
      <c r="IU45" s="28"/>
      <c r="IV45" s="28"/>
    </row>
    <row r="46" spans="1:256" ht="245.65" customHeight="1">
      <c r="A46" s="41"/>
      <c r="B46" s="31"/>
      <c r="C46" s="37" t="s">
        <v>25</v>
      </c>
      <c r="D46" s="38">
        <f t="shared" si="2"/>
        <v>39</v>
      </c>
      <c r="E46" s="39"/>
      <c r="F46" s="33"/>
      <c r="G46" s="24" t="s">
        <v>76</v>
      </c>
      <c r="H46" s="63"/>
      <c r="I46" s="64"/>
      <c r="J46" s="26"/>
      <c r="K46" s="27"/>
      <c r="L46" s="27"/>
      <c r="M46" s="27"/>
      <c r="N46" s="27"/>
      <c r="O46" s="27"/>
      <c r="P46" s="27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  <c r="FS46" s="28"/>
      <c r="FT46" s="28"/>
      <c r="FU46" s="28"/>
      <c r="FV46" s="28"/>
      <c r="FW46" s="28"/>
      <c r="FX46" s="28"/>
      <c r="FY46" s="28"/>
      <c r="FZ46" s="28"/>
      <c r="GA46" s="28"/>
      <c r="GB46" s="28"/>
      <c r="GC46" s="28"/>
      <c r="GD46" s="28"/>
      <c r="GE46" s="28"/>
      <c r="GF46" s="28"/>
      <c r="GG46" s="28"/>
      <c r="GH46" s="28"/>
      <c r="GI46" s="28"/>
      <c r="GJ46" s="28"/>
      <c r="GK46" s="28"/>
      <c r="GL46" s="28"/>
      <c r="GM46" s="28"/>
      <c r="GN46" s="28"/>
      <c r="GO46" s="28"/>
      <c r="GP46" s="28"/>
      <c r="GQ46" s="28"/>
      <c r="GR46" s="28"/>
      <c r="GS46" s="28"/>
      <c r="GT46" s="28"/>
      <c r="GU46" s="28"/>
      <c r="GV46" s="28"/>
      <c r="GW46" s="28"/>
      <c r="GX46" s="28"/>
      <c r="GY46" s="28"/>
      <c r="GZ46" s="28"/>
      <c r="HA46" s="28"/>
      <c r="HB46" s="28"/>
      <c r="HC46" s="28"/>
      <c r="HD46" s="28"/>
      <c r="HE46" s="28"/>
      <c r="HF46" s="28"/>
      <c r="HG46" s="28"/>
      <c r="HH46" s="28"/>
      <c r="HI46" s="28"/>
      <c r="HJ46" s="28"/>
      <c r="HK46" s="28"/>
      <c r="HL46" s="28"/>
      <c r="HM46" s="28"/>
      <c r="HN46" s="28"/>
      <c r="HO46" s="28"/>
      <c r="HP46" s="28"/>
      <c r="HQ46" s="28"/>
      <c r="HR46" s="28"/>
      <c r="HS46" s="28"/>
      <c r="HT46" s="28"/>
      <c r="HU46" s="28"/>
      <c r="HV46" s="28"/>
      <c r="HW46" s="28"/>
      <c r="HX46" s="28"/>
      <c r="HY46" s="28"/>
      <c r="HZ46" s="28"/>
      <c r="IA46" s="28"/>
      <c r="IB46" s="28"/>
      <c r="IC46" s="28"/>
      <c r="ID46" s="28"/>
      <c r="IE46" s="28"/>
      <c r="IF46" s="28"/>
      <c r="IG46" s="28"/>
      <c r="IH46" s="28"/>
      <c r="II46" s="28"/>
      <c r="IJ46" s="28"/>
      <c r="IK46" s="28"/>
      <c r="IL46" s="28"/>
      <c r="IM46" s="28"/>
      <c r="IN46" s="28"/>
      <c r="IO46" s="28"/>
      <c r="IP46" s="28"/>
      <c r="IQ46" s="28"/>
      <c r="IR46" s="28"/>
      <c r="IS46" s="28"/>
      <c r="IT46" s="28"/>
      <c r="IU46" s="28"/>
      <c r="IV46" s="28"/>
    </row>
    <row r="47" spans="1:256" ht="97.15" customHeight="1">
      <c r="A47" s="41"/>
      <c r="B47" s="31" t="s">
        <v>32</v>
      </c>
      <c r="C47" s="37" t="s">
        <v>25</v>
      </c>
      <c r="D47" s="38">
        <f t="shared" si="2"/>
        <v>40</v>
      </c>
      <c r="E47" s="39" t="s">
        <v>77</v>
      </c>
      <c r="F47" s="33"/>
      <c r="G47" s="24" t="s">
        <v>34</v>
      </c>
      <c r="H47" s="63"/>
      <c r="I47" s="64"/>
      <c r="J47" s="26" t="s">
        <v>78</v>
      </c>
      <c r="K47" s="27"/>
      <c r="L47" s="27"/>
      <c r="M47" s="27"/>
      <c r="N47" s="27"/>
      <c r="O47" s="27"/>
      <c r="P47" s="27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  <c r="FS47" s="28"/>
      <c r="FT47" s="28"/>
      <c r="FU47" s="28"/>
      <c r="FV47" s="28"/>
      <c r="FW47" s="28"/>
      <c r="FX47" s="28"/>
      <c r="FY47" s="28"/>
      <c r="FZ47" s="28"/>
      <c r="GA47" s="28"/>
      <c r="GB47" s="28"/>
      <c r="GC47" s="28"/>
      <c r="GD47" s="28"/>
      <c r="GE47" s="28"/>
      <c r="GF47" s="28"/>
      <c r="GG47" s="28"/>
      <c r="GH47" s="28"/>
      <c r="GI47" s="28"/>
      <c r="GJ47" s="28"/>
      <c r="GK47" s="28"/>
      <c r="GL47" s="28"/>
      <c r="GM47" s="28"/>
      <c r="GN47" s="28"/>
      <c r="GO47" s="28"/>
      <c r="GP47" s="28"/>
      <c r="GQ47" s="28"/>
      <c r="GR47" s="28"/>
      <c r="GS47" s="28"/>
      <c r="GT47" s="28"/>
      <c r="GU47" s="28"/>
      <c r="GV47" s="28"/>
      <c r="GW47" s="28"/>
      <c r="GX47" s="28"/>
      <c r="GY47" s="28"/>
      <c r="GZ47" s="28"/>
      <c r="HA47" s="28"/>
      <c r="HB47" s="28"/>
      <c r="HC47" s="28"/>
      <c r="HD47" s="28"/>
      <c r="HE47" s="28"/>
      <c r="HF47" s="28"/>
      <c r="HG47" s="28"/>
      <c r="HH47" s="28"/>
      <c r="HI47" s="28"/>
      <c r="HJ47" s="28"/>
      <c r="HK47" s="28"/>
      <c r="HL47" s="28"/>
      <c r="HM47" s="28"/>
      <c r="HN47" s="28"/>
      <c r="HO47" s="28"/>
      <c r="HP47" s="28"/>
      <c r="HQ47" s="28"/>
      <c r="HR47" s="28"/>
      <c r="HS47" s="28"/>
      <c r="HT47" s="28"/>
      <c r="HU47" s="28"/>
      <c r="HV47" s="28"/>
      <c r="HW47" s="28"/>
      <c r="HX47" s="28"/>
      <c r="HY47" s="28"/>
      <c r="HZ47" s="28"/>
      <c r="IA47" s="28"/>
      <c r="IB47" s="28"/>
      <c r="IC47" s="28"/>
      <c r="ID47" s="28"/>
      <c r="IE47" s="28"/>
      <c r="IF47" s="28"/>
      <c r="IG47" s="28"/>
      <c r="IH47" s="28"/>
      <c r="II47" s="28"/>
      <c r="IJ47" s="28"/>
      <c r="IK47" s="28"/>
      <c r="IL47" s="28"/>
      <c r="IM47" s="28"/>
      <c r="IN47" s="28"/>
      <c r="IO47" s="28"/>
      <c r="IP47" s="28"/>
      <c r="IQ47" s="28"/>
      <c r="IR47" s="28"/>
      <c r="IS47" s="28"/>
      <c r="IT47" s="28"/>
      <c r="IU47" s="28"/>
      <c r="IV47" s="28"/>
    </row>
    <row r="48" spans="1:256" ht="54" customHeight="1">
      <c r="A48" s="66"/>
      <c r="B48" s="31" t="s">
        <v>32</v>
      </c>
      <c r="C48" s="37" t="s">
        <v>25</v>
      </c>
      <c r="D48" s="38">
        <f t="shared" si="2"/>
        <v>41</v>
      </c>
      <c r="E48" s="39" t="s">
        <v>79</v>
      </c>
      <c r="F48" s="33"/>
      <c r="G48" s="24" t="s">
        <v>34</v>
      </c>
      <c r="H48" s="63"/>
      <c r="I48" s="64"/>
      <c r="J48" s="26"/>
      <c r="K48" s="27"/>
      <c r="L48" s="27"/>
      <c r="M48" s="27"/>
      <c r="N48" s="27"/>
      <c r="O48" s="27"/>
      <c r="P48" s="27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  <c r="FS48" s="28"/>
      <c r="FT48" s="28"/>
      <c r="FU48" s="28"/>
      <c r="FV48" s="28"/>
      <c r="FW48" s="28"/>
      <c r="FX48" s="28"/>
      <c r="FY48" s="28"/>
      <c r="FZ48" s="28"/>
      <c r="GA48" s="28"/>
      <c r="GB48" s="28"/>
      <c r="GC48" s="28"/>
      <c r="GD48" s="28"/>
      <c r="GE48" s="28"/>
      <c r="GF48" s="28"/>
      <c r="GG48" s="28"/>
      <c r="GH48" s="28"/>
      <c r="GI48" s="28"/>
      <c r="GJ48" s="28"/>
      <c r="GK48" s="28"/>
      <c r="GL48" s="28"/>
      <c r="GM48" s="28"/>
      <c r="GN48" s="28"/>
      <c r="GO48" s="28"/>
      <c r="GP48" s="28"/>
      <c r="GQ48" s="28"/>
      <c r="GR48" s="28"/>
      <c r="GS48" s="28"/>
      <c r="GT48" s="28"/>
      <c r="GU48" s="28"/>
      <c r="GV48" s="28"/>
      <c r="GW48" s="28"/>
      <c r="GX48" s="28"/>
      <c r="GY48" s="28"/>
      <c r="GZ48" s="28"/>
      <c r="HA48" s="28"/>
      <c r="HB48" s="28"/>
      <c r="HC48" s="28"/>
      <c r="HD48" s="28"/>
      <c r="HE48" s="28"/>
      <c r="HF48" s="28"/>
      <c r="HG48" s="28"/>
      <c r="HH48" s="28"/>
      <c r="HI48" s="28"/>
      <c r="HJ48" s="28"/>
      <c r="HK48" s="28"/>
      <c r="HL48" s="28"/>
      <c r="HM48" s="28"/>
      <c r="HN48" s="28"/>
      <c r="HO48" s="28"/>
      <c r="HP48" s="28"/>
      <c r="HQ48" s="28"/>
      <c r="HR48" s="28"/>
      <c r="HS48" s="28"/>
      <c r="HT48" s="28"/>
      <c r="HU48" s="28"/>
      <c r="HV48" s="28"/>
      <c r="HW48" s="28"/>
      <c r="HX48" s="28"/>
      <c r="HY48" s="28"/>
      <c r="HZ48" s="28"/>
      <c r="IA48" s="28"/>
      <c r="IB48" s="28"/>
      <c r="IC48" s="28"/>
      <c r="ID48" s="28"/>
      <c r="IE48" s="28"/>
      <c r="IF48" s="28"/>
      <c r="IG48" s="28"/>
      <c r="IH48" s="28"/>
      <c r="II48" s="28"/>
      <c r="IJ48" s="28"/>
      <c r="IK48" s="28"/>
      <c r="IL48" s="28"/>
      <c r="IM48" s="28"/>
      <c r="IN48" s="28"/>
      <c r="IO48" s="28"/>
      <c r="IP48" s="28"/>
      <c r="IQ48" s="28"/>
      <c r="IR48" s="28"/>
      <c r="IS48" s="28"/>
      <c r="IT48" s="28"/>
      <c r="IU48" s="28"/>
      <c r="IV48" s="28"/>
    </row>
    <row r="49" spans="1:256" ht="72" customHeight="1">
      <c r="A49" s="67"/>
      <c r="B49" s="46" t="s">
        <v>32</v>
      </c>
      <c r="C49" s="47" t="s">
        <v>25</v>
      </c>
      <c r="D49" s="58">
        <f t="shared" si="2"/>
        <v>42</v>
      </c>
      <c r="E49" s="68" t="s">
        <v>80</v>
      </c>
      <c r="F49" s="50" t="s">
        <v>14</v>
      </c>
      <c r="G49" s="51"/>
      <c r="H49" s="52" t="s">
        <v>50</v>
      </c>
      <c r="I49" s="51"/>
      <c r="J49" s="53" t="s">
        <v>81</v>
      </c>
      <c r="K49" s="27"/>
      <c r="L49" s="27"/>
      <c r="M49" s="27"/>
      <c r="N49" s="27"/>
      <c r="O49" s="27"/>
      <c r="P49" s="27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28"/>
      <c r="FQ49" s="28"/>
      <c r="FR49" s="28"/>
      <c r="FS49" s="28"/>
      <c r="FT49" s="28"/>
      <c r="FU49" s="28"/>
      <c r="FV49" s="28"/>
      <c r="FW49" s="28"/>
      <c r="FX49" s="28"/>
      <c r="FY49" s="28"/>
      <c r="FZ49" s="28"/>
      <c r="GA49" s="28"/>
      <c r="GB49" s="28"/>
      <c r="GC49" s="28"/>
      <c r="GD49" s="28"/>
      <c r="GE49" s="28"/>
      <c r="GF49" s="28"/>
      <c r="GG49" s="28"/>
      <c r="GH49" s="28"/>
      <c r="GI49" s="28"/>
      <c r="GJ49" s="28"/>
      <c r="GK49" s="28"/>
      <c r="GL49" s="28"/>
      <c r="GM49" s="28"/>
      <c r="GN49" s="28"/>
      <c r="GO49" s="28"/>
      <c r="GP49" s="28"/>
      <c r="GQ49" s="28"/>
      <c r="GR49" s="28"/>
      <c r="GS49" s="28"/>
      <c r="GT49" s="28"/>
      <c r="GU49" s="28"/>
      <c r="GV49" s="28"/>
      <c r="GW49" s="28"/>
      <c r="GX49" s="28"/>
      <c r="GY49" s="28"/>
      <c r="GZ49" s="28"/>
      <c r="HA49" s="28"/>
      <c r="HB49" s="28"/>
      <c r="HC49" s="28"/>
      <c r="HD49" s="28"/>
      <c r="HE49" s="28"/>
      <c r="HF49" s="28"/>
      <c r="HG49" s="28"/>
      <c r="HH49" s="28"/>
      <c r="HI49" s="28"/>
      <c r="HJ49" s="28"/>
      <c r="HK49" s="28"/>
      <c r="HL49" s="28"/>
      <c r="HM49" s="28"/>
      <c r="HN49" s="28"/>
      <c r="HO49" s="28"/>
      <c r="HP49" s="28"/>
      <c r="HQ49" s="28"/>
      <c r="HR49" s="28"/>
      <c r="HS49" s="28"/>
      <c r="HT49" s="28"/>
      <c r="HU49" s="28"/>
      <c r="HV49" s="28"/>
      <c r="HW49" s="28"/>
      <c r="HX49" s="28"/>
      <c r="HY49" s="28"/>
      <c r="HZ49" s="28"/>
      <c r="IA49" s="28"/>
      <c r="IB49" s="28"/>
      <c r="IC49" s="28"/>
      <c r="ID49" s="28"/>
      <c r="IE49" s="28"/>
      <c r="IF49" s="28"/>
      <c r="IG49" s="28"/>
      <c r="IH49" s="28"/>
      <c r="II49" s="28"/>
      <c r="IJ49" s="28"/>
      <c r="IK49" s="28"/>
      <c r="IL49" s="28"/>
      <c r="IM49" s="28"/>
      <c r="IN49" s="28"/>
      <c r="IO49" s="28"/>
      <c r="IP49" s="28"/>
      <c r="IQ49" s="28"/>
      <c r="IR49" s="28"/>
      <c r="IS49" s="28"/>
      <c r="IT49" s="28"/>
      <c r="IU49" s="28"/>
      <c r="IV49" s="28"/>
    </row>
    <row r="50" spans="1:256" ht="123" customHeight="1">
      <c r="A50" s="41"/>
      <c r="B50" s="31" t="s">
        <v>32</v>
      </c>
      <c r="C50" s="37" t="s">
        <v>25</v>
      </c>
      <c r="D50" s="38">
        <f t="shared" si="2"/>
        <v>43</v>
      </c>
      <c r="E50" s="39"/>
      <c r="F50" s="33"/>
      <c r="G50" s="24"/>
      <c r="H50" s="63" t="s">
        <v>50</v>
      </c>
      <c r="I50" s="64"/>
      <c r="J50" s="26" t="s">
        <v>82</v>
      </c>
      <c r="K50" s="27"/>
      <c r="L50" s="27"/>
      <c r="M50" s="27"/>
      <c r="N50" s="27"/>
      <c r="O50" s="27"/>
      <c r="P50" s="27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  <c r="FS50" s="28"/>
      <c r="FT50" s="28"/>
      <c r="FU50" s="28"/>
      <c r="FV50" s="28"/>
      <c r="FW50" s="28"/>
      <c r="FX50" s="28"/>
      <c r="FY50" s="28"/>
      <c r="FZ50" s="28"/>
      <c r="GA50" s="28"/>
      <c r="GB50" s="28"/>
      <c r="GC50" s="28"/>
      <c r="GD50" s="28"/>
      <c r="GE50" s="28"/>
      <c r="GF50" s="28"/>
      <c r="GG50" s="28"/>
      <c r="GH50" s="28"/>
      <c r="GI50" s="28"/>
      <c r="GJ50" s="28"/>
      <c r="GK50" s="28"/>
      <c r="GL50" s="28"/>
      <c r="GM50" s="28"/>
      <c r="GN50" s="28"/>
      <c r="GO50" s="28"/>
      <c r="GP50" s="28"/>
      <c r="GQ50" s="28"/>
      <c r="GR50" s="28"/>
      <c r="GS50" s="28"/>
      <c r="GT50" s="28"/>
      <c r="GU50" s="28"/>
      <c r="GV50" s="28"/>
      <c r="GW50" s="28"/>
      <c r="GX50" s="28"/>
      <c r="GY50" s="28"/>
      <c r="GZ50" s="28"/>
      <c r="HA50" s="28"/>
      <c r="HB50" s="28"/>
      <c r="HC50" s="28"/>
      <c r="HD50" s="28"/>
      <c r="HE50" s="28"/>
      <c r="HF50" s="28"/>
      <c r="HG50" s="28"/>
      <c r="HH50" s="28"/>
      <c r="HI50" s="28"/>
      <c r="HJ50" s="28"/>
      <c r="HK50" s="28"/>
      <c r="HL50" s="28"/>
      <c r="HM50" s="28"/>
      <c r="HN50" s="28"/>
      <c r="HO50" s="28"/>
      <c r="HP50" s="28"/>
      <c r="HQ50" s="28"/>
      <c r="HR50" s="28"/>
      <c r="HS50" s="28"/>
      <c r="HT50" s="28"/>
      <c r="HU50" s="28"/>
      <c r="HV50" s="28"/>
      <c r="HW50" s="28"/>
      <c r="HX50" s="28"/>
      <c r="HY50" s="28"/>
      <c r="HZ50" s="28"/>
      <c r="IA50" s="28"/>
      <c r="IB50" s="28"/>
      <c r="IC50" s="28"/>
      <c r="ID50" s="28"/>
      <c r="IE50" s="28"/>
      <c r="IF50" s="28"/>
      <c r="IG50" s="28"/>
      <c r="IH50" s="28"/>
      <c r="II50" s="28"/>
      <c r="IJ50" s="28"/>
      <c r="IK50" s="28"/>
      <c r="IL50" s="28"/>
      <c r="IM50" s="28"/>
      <c r="IN50" s="28"/>
      <c r="IO50" s="28"/>
      <c r="IP50" s="28"/>
      <c r="IQ50" s="28"/>
      <c r="IR50" s="28"/>
      <c r="IS50" s="28"/>
      <c r="IT50" s="28"/>
      <c r="IU50" s="28"/>
      <c r="IV50" s="28"/>
    </row>
    <row r="51" spans="1:256" ht="41.85" customHeight="1">
      <c r="A51" s="41"/>
      <c r="B51" s="31" t="s">
        <v>32</v>
      </c>
      <c r="C51" s="37" t="s">
        <v>25</v>
      </c>
      <c r="D51" s="38">
        <f t="shared" si="2"/>
        <v>44</v>
      </c>
      <c r="E51" s="178" t="s">
        <v>83</v>
      </c>
      <c r="F51" s="33"/>
      <c r="H51" s="25" t="s">
        <v>50</v>
      </c>
      <c r="I51" s="64"/>
      <c r="J51" s="56"/>
      <c r="K51" s="27"/>
      <c r="L51" s="27"/>
      <c r="M51" s="27"/>
      <c r="N51" s="27"/>
      <c r="O51" s="27"/>
      <c r="P51" s="27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28"/>
      <c r="FQ51" s="28"/>
      <c r="FR51" s="28"/>
      <c r="FS51" s="28"/>
      <c r="FT51" s="28"/>
      <c r="FU51" s="28"/>
      <c r="FV51" s="28"/>
      <c r="FW51" s="28"/>
      <c r="FX51" s="28"/>
      <c r="FY51" s="28"/>
      <c r="FZ51" s="28"/>
      <c r="GA51" s="28"/>
      <c r="GB51" s="28"/>
      <c r="GC51" s="28"/>
      <c r="GD51" s="28"/>
      <c r="GE51" s="28"/>
      <c r="GF51" s="28"/>
      <c r="GG51" s="28"/>
      <c r="GH51" s="28"/>
      <c r="GI51" s="28"/>
      <c r="GJ51" s="28"/>
      <c r="GK51" s="28"/>
      <c r="GL51" s="28"/>
      <c r="GM51" s="28"/>
      <c r="GN51" s="28"/>
      <c r="GO51" s="28"/>
      <c r="GP51" s="28"/>
      <c r="GQ51" s="28"/>
      <c r="GR51" s="28"/>
      <c r="GS51" s="28"/>
      <c r="GT51" s="28"/>
      <c r="GU51" s="28"/>
      <c r="GV51" s="28"/>
      <c r="GW51" s="28"/>
      <c r="GX51" s="28"/>
      <c r="GY51" s="28"/>
      <c r="GZ51" s="28"/>
      <c r="HA51" s="28"/>
      <c r="HB51" s="28"/>
      <c r="HC51" s="28"/>
      <c r="HD51" s="28"/>
      <c r="HE51" s="28"/>
      <c r="HF51" s="28"/>
      <c r="HG51" s="28"/>
      <c r="HH51" s="28"/>
      <c r="HI51" s="28"/>
      <c r="HJ51" s="28"/>
      <c r="HK51" s="28"/>
      <c r="HL51" s="28"/>
      <c r="HM51" s="28"/>
      <c r="HN51" s="28"/>
      <c r="HO51" s="28"/>
      <c r="HP51" s="28"/>
      <c r="HQ51" s="28"/>
      <c r="HR51" s="28"/>
      <c r="HS51" s="28"/>
      <c r="HT51" s="28"/>
      <c r="HU51" s="28"/>
      <c r="HV51" s="28"/>
      <c r="HW51" s="28"/>
      <c r="HX51" s="28"/>
      <c r="HY51" s="28"/>
      <c r="HZ51" s="28"/>
      <c r="IA51" s="28"/>
      <c r="IB51" s="28"/>
      <c r="IC51" s="28"/>
      <c r="ID51" s="28"/>
      <c r="IE51" s="28"/>
      <c r="IF51" s="28"/>
      <c r="IG51" s="28"/>
      <c r="IH51" s="28"/>
      <c r="II51" s="28"/>
      <c r="IJ51" s="28"/>
      <c r="IK51" s="28"/>
      <c r="IL51" s="28"/>
      <c r="IM51" s="28"/>
      <c r="IN51" s="28"/>
      <c r="IO51" s="28"/>
      <c r="IP51" s="28"/>
      <c r="IQ51" s="28"/>
      <c r="IR51" s="28"/>
      <c r="IS51" s="28"/>
      <c r="IT51" s="28"/>
      <c r="IU51" s="28"/>
      <c r="IV51" s="28"/>
    </row>
    <row r="52" spans="1:256" ht="111.75" customHeight="1">
      <c r="A52" s="41"/>
      <c r="B52" s="31"/>
      <c r="C52" s="37" t="s">
        <v>25</v>
      </c>
      <c r="D52" s="38">
        <f t="shared" si="2"/>
        <v>45</v>
      </c>
      <c r="E52" s="69"/>
      <c r="F52" s="33"/>
      <c r="H52" s="25"/>
      <c r="I52" s="64"/>
      <c r="J52" s="71" t="s">
        <v>84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</row>
    <row r="53" spans="1:256" ht="60.4" customHeight="1">
      <c r="A53" s="41"/>
      <c r="B53" s="31" t="s">
        <v>32</v>
      </c>
      <c r="C53" s="37" t="s">
        <v>25</v>
      </c>
      <c r="D53" s="38">
        <f t="shared" si="2"/>
        <v>46</v>
      </c>
      <c r="E53" s="178" t="s">
        <v>85</v>
      </c>
      <c r="F53" s="24" t="s">
        <v>27</v>
      </c>
      <c r="G53" s="24" t="s">
        <v>34</v>
      </c>
      <c r="H53" s="25" t="s">
        <v>50</v>
      </c>
      <c r="I53" s="64" t="s">
        <v>51</v>
      </c>
      <c r="J53" s="71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</row>
    <row r="54" spans="1:256" ht="58.7" customHeight="1">
      <c r="A54" s="67"/>
      <c r="B54" s="46" t="s">
        <v>32</v>
      </c>
      <c r="C54" s="47" t="s">
        <v>25</v>
      </c>
      <c r="D54" s="58">
        <f t="shared" si="2"/>
        <v>47</v>
      </c>
      <c r="E54" s="72" t="s">
        <v>86</v>
      </c>
      <c r="F54" s="50"/>
      <c r="G54" s="73"/>
      <c r="H54" s="52" t="s">
        <v>50</v>
      </c>
      <c r="I54" s="61"/>
      <c r="J54" s="74"/>
      <c r="K54" s="27"/>
      <c r="L54" s="27"/>
      <c r="M54" s="27"/>
      <c r="N54" s="27"/>
      <c r="O54" s="27"/>
      <c r="P54" s="27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8"/>
      <c r="FK54" s="28"/>
      <c r="FL54" s="28"/>
      <c r="FM54" s="28"/>
      <c r="FN54" s="28"/>
      <c r="FO54" s="28"/>
      <c r="FP54" s="28"/>
      <c r="FQ54" s="28"/>
      <c r="FR54" s="28"/>
      <c r="FS54" s="28"/>
      <c r="FT54" s="28"/>
      <c r="FU54" s="28"/>
      <c r="FV54" s="28"/>
      <c r="FW54" s="28"/>
      <c r="FX54" s="28"/>
      <c r="FY54" s="28"/>
      <c r="FZ54" s="28"/>
      <c r="GA54" s="28"/>
      <c r="GB54" s="28"/>
      <c r="GC54" s="28"/>
      <c r="GD54" s="28"/>
      <c r="GE54" s="28"/>
      <c r="GF54" s="28"/>
      <c r="GG54" s="28"/>
      <c r="GH54" s="28"/>
      <c r="GI54" s="28"/>
      <c r="GJ54" s="28"/>
      <c r="GK54" s="28"/>
      <c r="GL54" s="28"/>
      <c r="GM54" s="28"/>
      <c r="GN54" s="28"/>
      <c r="GO54" s="28"/>
      <c r="GP54" s="28"/>
      <c r="GQ54" s="28"/>
      <c r="GR54" s="28"/>
      <c r="GS54" s="28"/>
      <c r="GT54" s="28"/>
      <c r="GU54" s="28"/>
      <c r="GV54" s="28"/>
      <c r="GW54" s="28"/>
      <c r="GX54" s="28"/>
      <c r="GY54" s="28"/>
      <c r="GZ54" s="28"/>
      <c r="HA54" s="28"/>
      <c r="HB54" s="28"/>
      <c r="HC54" s="28"/>
      <c r="HD54" s="28"/>
      <c r="HE54" s="28"/>
      <c r="HF54" s="28"/>
      <c r="HG54" s="28"/>
      <c r="HH54" s="28"/>
      <c r="HI54" s="28"/>
      <c r="HJ54" s="28"/>
      <c r="HK54" s="28"/>
      <c r="HL54" s="28"/>
      <c r="HM54" s="28"/>
      <c r="HN54" s="28"/>
      <c r="HO54" s="28"/>
      <c r="HP54" s="28"/>
      <c r="HQ54" s="28"/>
      <c r="HR54" s="28"/>
      <c r="HS54" s="28"/>
      <c r="HT54" s="28"/>
      <c r="HU54" s="28"/>
      <c r="HV54" s="28"/>
      <c r="HW54" s="28"/>
      <c r="HX54" s="28"/>
      <c r="HY54" s="28"/>
      <c r="HZ54" s="28"/>
      <c r="IA54" s="28"/>
      <c r="IB54" s="28"/>
      <c r="IC54" s="28"/>
      <c r="ID54" s="28"/>
      <c r="IE54" s="28"/>
      <c r="IF54" s="28"/>
      <c r="IG54" s="28"/>
      <c r="IH54" s="28"/>
      <c r="II54" s="28"/>
      <c r="IJ54" s="28"/>
      <c r="IK54" s="28"/>
      <c r="IL54" s="28"/>
      <c r="IM54" s="28"/>
      <c r="IN54" s="28"/>
      <c r="IO54" s="28"/>
      <c r="IP54" s="28"/>
      <c r="IQ54" s="28"/>
      <c r="IR54" s="28"/>
      <c r="IS54" s="28"/>
      <c r="IT54" s="28"/>
      <c r="IU54" s="28"/>
      <c r="IV54" s="28"/>
    </row>
    <row r="55" spans="1:256" ht="49.7" customHeight="1">
      <c r="A55" s="46" t="s">
        <v>32</v>
      </c>
      <c r="B55" s="46" t="s">
        <v>32</v>
      </c>
      <c r="C55" s="47" t="s">
        <v>25</v>
      </c>
      <c r="D55" s="58">
        <f t="shared" si="2"/>
        <v>48</v>
      </c>
      <c r="E55" s="160" t="s">
        <v>87</v>
      </c>
      <c r="F55" s="50"/>
      <c r="G55" s="73"/>
      <c r="H55" s="52" t="s">
        <v>50</v>
      </c>
      <c r="I55" s="61"/>
      <c r="J55" s="53" t="s">
        <v>88</v>
      </c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</row>
    <row r="56" spans="1:256" ht="54.4" customHeight="1">
      <c r="A56" s="66"/>
      <c r="B56" s="31" t="s">
        <v>32</v>
      </c>
      <c r="C56" s="37" t="s">
        <v>25</v>
      </c>
      <c r="D56" s="38">
        <f t="shared" si="2"/>
        <v>49</v>
      </c>
      <c r="E56" s="209" t="s">
        <v>89</v>
      </c>
      <c r="F56" s="210"/>
      <c r="G56" s="124"/>
      <c r="H56" s="211" t="s">
        <v>50</v>
      </c>
      <c r="I56" s="125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</row>
    <row r="57" spans="1:256" ht="54.4" customHeight="1">
      <c r="A57" s="66"/>
      <c r="B57" s="31"/>
      <c r="C57" s="37" t="s">
        <v>25</v>
      </c>
      <c r="D57" s="38">
        <f t="shared" si="2"/>
        <v>50</v>
      </c>
      <c r="E57" s="70" t="s">
        <v>90</v>
      </c>
      <c r="F57" s="24"/>
      <c r="H57" s="24" t="s">
        <v>50</v>
      </c>
      <c r="I57" s="64"/>
      <c r="J57" s="70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</row>
    <row r="58" spans="1:256" ht="54.4" customHeight="1">
      <c r="A58" s="66"/>
      <c r="B58" s="31"/>
      <c r="C58" s="37"/>
      <c r="D58" s="38">
        <f t="shared" si="2"/>
        <v>51</v>
      </c>
      <c r="E58" s="70" t="s">
        <v>91</v>
      </c>
      <c r="F58" s="24"/>
      <c r="H58" s="24"/>
      <c r="I58" s="64"/>
      <c r="J58" s="70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</row>
    <row r="59" spans="1:256" ht="54.4" customHeight="1">
      <c r="A59" s="66"/>
      <c r="B59" s="31"/>
      <c r="C59" s="37"/>
      <c r="D59" s="38">
        <f t="shared" si="2"/>
        <v>52</v>
      </c>
      <c r="E59" s="70" t="s">
        <v>92</v>
      </c>
      <c r="F59" s="24"/>
      <c r="H59" s="24"/>
      <c r="I59" s="64"/>
      <c r="J59" s="70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</row>
    <row r="60" spans="1:256" ht="192.6" customHeight="1">
      <c r="A60" s="66"/>
      <c r="B60" s="31" t="s">
        <v>32</v>
      </c>
      <c r="C60" s="37" t="s">
        <v>25</v>
      </c>
      <c r="D60" s="38">
        <f t="shared" si="2"/>
        <v>53</v>
      </c>
      <c r="E60" s="161"/>
      <c r="F60" s="33"/>
      <c r="H60" s="25" t="s">
        <v>50</v>
      </c>
      <c r="I60" s="64"/>
      <c r="J60" s="208" t="s">
        <v>93</v>
      </c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</row>
    <row r="61" spans="1:256" ht="307.14999999999998" customHeight="1">
      <c r="A61" s="66"/>
      <c r="B61" s="31"/>
      <c r="C61" s="37" t="s">
        <v>25</v>
      </c>
      <c r="D61" s="38">
        <f t="shared" si="2"/>
        <v>54</v>
      </c>
      <c r="E61" s="161" t="s">
        <v>94</v>
      </c>
      <c r="F61" s="33"/>
      <c r="H61" s="25" t="s">
        <v>50</v>
      </c>
      <c r="I61" s="64"/>
      <c r="J61" s="181" t="s">
        <v>95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/>
      <c r="IE61" s="27"/>
      <c r="IF61" s="27"/>
      <c r="IG61" s="27"/>
      <c r="IH61" s="27"/>
      <c r="II61" s="27"/>
      <c r="IJ61" s="27"/>
      <c r="IK61" s="27"/>
      <c r="IL61" s="27"/>
      <c r="IM61" s="27"/>
      <c r="IN61" s="27"/>
      <c r="IO61" s="27"/>
      <c r="IP61" s="27"/>
      <c r="IQ61" s="27"/>
      <c r="IR61" s="27"/>
      <c r="IS61" s="27"/>
      <c r="IT61" s="27"/>
      <c r="IU61" s="27"/>
      <c r="IV61" s="27"/>
    </row>
    <row r="62" spans="1:256" ht="33" customHeight="1">
      <c r="A62" s="66"/>
      <c r="B62" s="31" t="s">
        <v>32</v>
      </c>
      <c r="C62" s="37" t="s">
        <v>25</v>
      </c>
      <c r="D62" s="38">
        <f t="shared" si="2"/>
        <v>55</v>
      </c>
      <c r="E62" s="75" t="s">
        <v>96</v>
      </c>
      <c r="F62" s="33"/>
      <c r="H62" s="25" t="s">
        <v>50</v>
      </c>
      <c r="I62" s="64"/>
      <c r="J62" s="26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</row>
    <row r="63" spans="1:256" ht="59.45" customHeight="1">
      <c r="A63" s="76"/>
      <c r="B63" s="31" t="s">
        <v>32</v>
      </c>
      <c r="C63" s="37" t="s">
        <v>25</v>
      </c>
      <c r="D63" s="38">
        <f t="shared" si="2"/>
        <v>56</v>
      </c>
      <c r="E63" s="39" t="s">
        <v>97</v>
      </c>
      <c r="F63" s="33"/>
      <c r="H63" s="25" t="s">
        <v>50</v>
      </c>
      <c r="I63" s="64"/>
      <c r="J63" s="205" t="s">
        <v>98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</row>
    <row r="64" spans="1:256" ht="116.45" customHeight="1">
      <c r="A64" s="76"/>
      <c r="B64" s="31"/>
      <c r="C64" s="37" t="s">
        <v>25</v>
      </c>
      <c r="D64" s="38">
        <f t="shared" si="2"/>
        <v>57</v>
      </c>
      <c r="E64" s="39"/>
      <c r="F64" s="33"/>
      <c r="H64" s="25"/>
      <c r="I64" s="64"/>
      <c r="J64" s="205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</row>
    <row r="65" spans="1:256" ht="147" customHeight="1">
      <c r="A65" s="76"/>
      <c r="B65" s="31"/>
      <c r="C65" s="37" t="s">
        <v>25</v>
      </c>
      <c r="D65" s="38">
        <f t="shared" si="2"/>
        <v>58</v>
      </c>
      <c r="E65" s="39"/>
      <c r="F65" s="33"/>
      <c r="H65" s="25" t="s">
        <v>50</v>
      </c>
      <c r="I65" s="64"/>
      <c r="J65" s="70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</row>
    <row r="66" spans="1:256" ht="61.5" customHeight="1">
      <c r="A66" s="162"/>
      <c r="B66" s="163" t="s">
        <v>32</v>
      </c>
      <c r="C66" s="164" t="s">
        <v>25</v>
      </c>
      <c r="D66" s="165">
        <f t="shared" si="2"/>
        <v>59</v>
      </c>
      <c r="E66" s="77" t="s">
        <v>99</v>
      </c>
      <c r="F66" s="166"/>
      <c r="G66" s="167"/>
      <c r="H66" s="168" t="s">
        <v>50</v>
      </c>
      <c r="I66" s="169"/>
      <c r="J66" s="170" t="s">
        <v>100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</row>
    <row r="67" spans="1:256" ht="46.15" customHeight="1">
      <c r="A67" s="66"/>
      <c r="B67" s="31" t="s">
        <v>32</v>
      </c>
      <c r="C67" s="37" t="s">
        <v>25</v>
      </c>
      <c r="D67" s="38">
        <f t="shared" si="2"/>
        <v>60</v>
      </c>
      <c r="E67" s="78" t="s">
        <v>101</v>
      </c>
      <c r="F67" s="33"/>
      <c r="H67" s="25" t="s">
        <v>50</v>
      </c>
      <c r="I67" s="64"/>
      <c r="J67" s="26" t="s">
        <v>102</v>
      </c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</row>
    <row r="68" spans="1:256" ht="46.5" customHeight="1">
      <c r="A68" s="66"/>
      <c r="B68" s="31" t="s">
        <v>32</v>
      </c>
      <c r="C68" s="79" t="s">
        <v>103</v>
      </c>
      <c r="D68" s="38">
        <f t="shared" si="2"/>
        <v>61</v>
      </c>
      <c r="E68" s="80" t="s">
        <v>104</v>
      </c>
      <c r="F68" s="33"/>
      <c r="H68" s="25" t="s">
        <v>50</v>
      </c>
      <c r="I68" s="64"/>
      <c r="J68" s="43" t="s">
        <v>105</v>
      </c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</row>
    <row r="69" spans="1:256" ht="33" customHeight="1">
      <c r="A69" s="66"/>
      <c r="B69" s="31" t="s">
        <v>32</v>
      </c>
      <c r="C69" s="37" t="s">
        <v>25</v>
      </c>
      <c r="D69" s="38">
        <f t="shared" si="2"/>
        <v>62</v>
      </c>
      <c r="E69" s="81" t="s">
        <v>106</v>
      </c>
      <c r="F69" s="33"/>
      <c r="H69" s="25" t="s">
        <v>50</v>
      </c>
      <c r="I69" s="64"/>
      <c r="J69" s="2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</row>
    <row r="70" spans="1:256" ht="50.65" customHeight="1">
      <c r="A70" s="66"/>
      <c r="B70" s="31" t="s">
        <v>32</v>
      </c>
      <c r="C70" s="37" t="s">
        <v>25</v>
      </c>
      <c r="D70" s="38">
        <f t="shared" si="2"/>
        <v>63</v>
      </c>
      <c r="E70" s="82" t="s">
        <v>107</v>
      </c>
      <c r="F70" s="33"/>
      <c r="H70" s="25" t="s">
        <v>50</v>
      </c>
      <c r="I70" s="64"/>
      <c r="J70" s="2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</row>
    <row r="71" spans="1:256" ht="44.65" customHeight="1">
      <c r="A71" s="41"/>
      <c r="B71" s="31" t="s">
        <v>32</v>
      </c>
      <c r="C71" s="37" t="s">
        <v>25</v>
      </c>
      <c r="D71" s="38">
        <f t="shared" si="2"/>
        <v>64</v>
      </c>
      <c r="E71" s="83" t="s">
        <v>108</v>
      </c>
      <c r="F71" s="33"/>
      <c r="H71" s="25" t="s">
        <v>50</v>
      </c>
      <c r="I71" s="64"/>
      <c r="J71" s="84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  <c r="IT71" s="27"/>
      <c r="IU71" s="27"/>
      <c r="IV71" s="27"/>
    </row>
    <row r="72" spans="1:256" ht="37.5" customHeight="1">
      <c r="A72" s="41"/>
      <c r="B72" s="31" t="s">
        <v>32</v>
      </c>
      <c r="C72" s="37" t="s">
        <v>25</v>
      </c>
      <c r="D72" s="38">
        <f t="shared" si="2"/>
        <v>65</v>
      </c>
      <c r="E72" s="83" t="s">
        <v>109</v>
      </c>
      <c r="F72" s="33"/>
      <c r="H72" s="25" t="s">
        <v>50</v>
      </c>
      <c r="I72" s="64"/>
      <c r="J72" s="84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  <c r="IT72" s="27"/>
      <c r="IU72" s="27"/>
      <c r="IV72" s="27"/>
    </row>
    <row r="73" spans="1:256" ht="41.85" customHeight="1">
      <c r="A73" s="162"/>
      <c r="B73" s="163" t="s">
        <v>32</v>
      </c>
      <c r="C73" s="164" t="s">
        <v>25</v>
      </c>
      <c r="D73" s="165">
        <f>SUM(D72+1)</f>
        <v>66</v>
      </c>
      <c r="E73" s="171" t="s">
        <v>110</v>
      </c>
      <c r="F73" s="166"/>
      <c r="G73" s="172"/>
      <c r="H73" s="173"/>
      <c r="I73" s="169" t="s">
        <v>111</v>
      </c>
      <c r="J73" s="179" t="s">
        <v>112</v>
      </c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</row>
    <row r="74" spans="1:256" ht="49.15" customHeight="1">
      <c r="A74" s="85"/>
      <c r="B74" s="86" t="s">
        <v>32</v>
      </c>
      <c r="C74" s="87"/>
      <c r="D74" s="88">
        <f>SUM(D73+1)</f>
        <v>67</v>
      </c>
      <c r="E74" s="94" t="s">
        <v>113</v>
      </c>
      <c r="F74" s="89"/>
      <c r="G74" s="175"/>
      <c r="H74" s="176"/>
      <c r="I74" s="92"/>
      <c r="J74" s="93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</row>
    <row r="75" spans="1:256" ht="46.15" customHeight="1">
      <c r="A75" s="85"/>
      <c r="B75" s="86" t="s">
        <v>32</v>
      </c>
      <c r="C75" s="87"/>
      <c r="D75" s="88">
        <f>SUM(D74+1)</f>
        <v>68</v>
      </c>
      <c r="E75" s="94" t="s">
        <v>114</v>
      </c>
      <c r="F75" s="89"/>
      <c r="G75" s="90"/>
      <c r="H75" s="91"/>
      <c r="I75" s="92"/>
      <c r="J75" s="93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</row>
    <row r="76" spans="1:256" ht="51" customHeight="1">
      <c r="A76" s="85"/>
      <c r="B76" s="86"/>
      <c r="C76" s="87"/>
      <c r="D76" s="88">
        <f>SUM(D75+1)</f>
        <v>69</v>
      </c>
      <c r="E76" s="94" t="s">
        <v>115</v>
      </c>
      <c r="F76" s="89"/>
      <c r="G76" s="90"/>
      <c r="H76" s="91"/>
      <c r="I76" s="92"/>
      <c r="J76" s="93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</row>
    <row r="77" spans="1:256" ht="51" customHeight="1">
      <c r="A77" s="85"/>
      <c r="B77" s="86"/>
      <c r="C77" s="87"/>
      <c r="D77" s="88">
        <f>SUM(D76+1)</f>
        <v>70</v>
      </c>
      <c r="E77" s="94" t="s">
        <v>116</v>
      </c>
      <c r="F77" s="89"/>
      <c r="G77" s="90"/>
      <c r="H77" s="91"/>
      <c r="I77" s="92"/>
      <c r="J77" s="93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</row>
    <row r="78" spans="1:256" ht="41.85" customHeight="1">
      <c r="A78" s="162" t="s">
        <v>117</v>
      </c>
      <c r="B78" s="163"/>
      <c r="C78" s="164" t="s">
        <v>25</v>
      </c>
      <c r="D78" s="165">
        <f>SUM(D77+1)</f>
        <v>71</v>
      </c>
      <c r="E78" s="171" t="s">
        <v>118</v>
      </c>
      <c r="F78" s="166"/>
      <c r="G78" s="172"/>
      <c r="H78" s="173" t="s">
        <v>34</v>
      </c>
      <c r="I78" s="169"/>
      <c r="J78" s="179" t="s">
        <v>112</v>
      </c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</row>
    <row r="79" spans="1:256" ht="49.15" customHeight="1">
      <c r="A79" s="86" t="s">
        <v>32</v>
      </c>
      <c r="B79" s="86" t="s">
        <v>32</v>
      </c>
      <c r="C79" s="87"/>
      <c r="D79" s="88">
        <f>SUM(D78+1)</f>
        <v>72</v>
      </c>
      <c r="E79" s="94" t="s">
        <v>113</v>
      </c>
      <c r="F79" s="89"/>
      <c r="G79" s="175"/>
      <c r="H79" s="176"/>
      <c r="I79" s="92"/>
      <c r="J79" s="93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</row>
    <row r="80" spans="1:256" ht="46.15" customHeight="1">
      <c r="A80" s="85"/>
      <c r="B80" s="86" t="s">
        <v>32</v>
      </c>
      <c r="C80" s="87"/>
      <c r="D80" s="88">
        <f>SUM(D79+1)</f>
        <v>73</v>
      </c>
      <c r="E80" s="94" t="s">
        <v>114</v>
      </c>
      <c r="F80" s="89"/>
      <c r="G80" s="90"/>
      <c r="H80" s="91"/>
      <c r="I80" s="92"/>
      <c r="J80" s="93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</row>
    <row r="81" spans="1:256" ht="51" customHeight="1">
      <c r="A81" s="85"/>
      <c r="B81" s="86"/>
      <c r="C81" s="87"/>
      <c r="D81" s="88">
        <f>SUM(D80+1)</f>
        <v>74</v>
      </c>
      <c r="E81" s="94" t="s">
        <v>119</v>
      </c>
      <c r="F81" s="89"/>
      <c r="G81" s="90"/>
      <c r="H81" s="91"/>
      <c r="I81" s="92"/>
      <c r="J81" s="93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</row>
    <row r="82" spans="1:256" ht="51" customHeight="1">
      <c r="A82" s="85"/>
      <c r="B82" s="86"/>
      <c r="C82" s="87"/>
      <c r="D82" s="88">
        <f>SUM(D81+1)</f>
        <v>75</v>
      </c>
      <c r="E82" s="94" t="s">
        <v>116</v>
      </c>
      <c r="F82" s="89"/>
      <c r="G82" s="90"/>
      <c r="H82" s="91"/>
      <c r="I82" s="92"/>
      <c r="J82" s="93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</row>
    <row r="83" spans="1:256" ht="47.1" customHeight="1">
      <c r="A83" s="162"/>
      <c r="B83" s="163" t="s">
        <v>32</v>
      </c>
      <c r="C83" s="164" t="s">
        <v>25</v>
      </c>
      <c r="D83" s="165">
        <f t="shared" ref="D83:D84" si="3">SUM(D82+1)</f>
        <v>76</v>
      </c>
      <c r="E83" s="171" t="s">
        <v>120</v>
      </c>
      <c r="F83" s="166" t="s">
        <v>121</v>
      </c>
      <c r="G83" s="167"/>
      <c r="H83" s="168"/>
      <c r="I83" s="169"/>
      <c r="J83" s="179" t="s">
        <v>112</v>
      </c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</row>
    <row r="84" spans="1:256" ht="73.5" customHeight="1">
      <c r="A84" s="85"/>
      <c r="B84" s="86"/>
      <c r="C84" s="87"/>
      <c r="D84" s="88">
        <f t="shared" si="3"/>
        <v>77</v>
      </c>
      <c r="E84" s="94" t="s">
        <v>113</v>
      </c>
      <c r="F84" s="89"/>
      <c r="G84" s="90"/>
      <c r="H84" s="91"/>
      <c r="I84" s="92"/>
      <c r="J84" s="93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  <c r="IT84" s="27"/>
      <c r="IU84" s="27"/>
      <c r="IV84" s="27"/>
    </row>
    <row r="85" spans="1:256" ht="41.65" customHeight="1">
      <c r="A85" s="85"/>
      <c r="B85" s="86"/>
      <c r="C85" s="87"/>
      <c r="D85" s="88">
        <f t="shared" si="2"/>
        <v>78</v>
      </c>
      <c r="E85" s="94" t="s">
        <v>114</v>
      </c>
      <c r="F85" s="89"/>
      <c r="G85" s="90"/>
      <c r="H85" s="91"/>
      <c r="I85" s="92"/>
      <c r="J85" s="93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  <c r="IR85" s="27"/>
      <c r="IS85" s="27"/>
      <c r="IT85" s="27"/>
      <c r="IU85" s="27"/>
      <c r="IV85" s="27"/>
    </row>
    <row r="86" spans="1:256" ht="51" customHeight="1">
      <c r="A86" s="85"/>
      <c r="B86" s="86"/>
      <c r="C86" s="87"/>
      <c r="D86" s="88">
        <f t="shared" si="2"/>
        <v>79</v>
      </c>
      <c r="E86" s="94" t="s">
        <v>122</v>
      </c>
      <c r="F86" s="89"/>
      <c r="G86" s="90"/>
      <c r="H86" s="91"/>
      <c r="I86" s="92"/>
      <c r="J86" s="93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  <c r="IT86" s="27"/>
      <c r="IU86" s="27"/>
      <c r="IV86" s="27"/>
    </row>
    <row r="87" spans="1:256" ht="51" customHeight="1">
      <c r="A87" s="85"/>
      <c r="B87" s="86"/>
      <c r="C87" s="87"/>
      <c r="D87" s="88">
        <f t="shared" si="2"/>
        <v>80</v>
      </c>
      <c r="E87" s="94" t="s">
        <v>116</v>
      </c>
      <c r="F87" s="89"/>
      <c r="G87" s="90"/>
      <c r="H87" s="91"/>
      <c r="I87" s="92"/>
      <c r="J87" s="93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</row>
    <row r="88" spans="1:256" ht="47.1" customHeight="1">
      <c r="A88" s="162"/>
      <c r="B88" s="163" t="s">
        <v>32</v>
      </c>
      <c r="C88" s="164" t="s">
        <v>25</v>
      </c>
      <c r="D88" s="165">
        <f t="shared" si="2"/>
        <v>81</v>
      </c>
      <c r="E88" s="171" t="s">
        <v>123</v>
      </c>
      <c r="F88" s="166"/>
      <c r="G88" s="206" t="s">
        <v>51</v>
      </c>
      <c r="H88" s="168"/>
      <c r="I88" s="169"/>
      <c r="J88" s="179" t="s">
        <v>112</v>
      </c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</row>
    <row r="89" spans="1:256" ht="73.5" customHeight="1">
      <c r="A89" s="85"/>
      <c r="B89" s="86"/>
      <c r="C89" s="87"/>
      <c r="D89" s="88">
        <f t="shared" si="2"/>
        <v>82</v>
      </c>
      <c r="E89" s="94" t="s">
        <v>113</v>
      </c>
      <c r="F89" s="89"/>
      <c r="G89" s="90"/>
      <c r="H89" s="91"/>
      <c r="I89" s="92"/>
      <c r="J89" s="93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</row>
    <row r="90" spans="1:256" ht="41.65" customHeight="1">
      <c r="A90" s="85"/>
      <c r="B90" s="86"/>
      <c r="C90" s="87"/>
      <c r="D90" s="88">
        <f t="shared" si="2"/>
        <v>83</v>
      </c>
      <c r="E90" s="94" t="s">
        <v>114</v>
      </c>
      <c r="F90" s="89"/>
      <c r="G90" s="90"/>
      <c r="H90" s="91"/>
      <c r="I90" s="92"/>
      <c r="J90" s="93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27"/>
      <c r="IR90" s="27"/>
      <c r="IS90" s="27"/>
      <c r="IT90" s="27"/>
      <c r="IU90" s="27"/>
      <c r="IV90" s="27"/>
    </row>
    <row r="91" spans="1:256" ht="51" customHeight="1">
      <c r="A91" s="85"/>
      <c r="B91" s="86"/>
      <c r="C91" s="87"/>
      <c r="D91" s="88">
        <f t="shared" si="2"/>
        <v>84</v>
      </c>
      <c r="E91" s="94" t="s">
        <v>122</v>
      </c>
      <c r="F91" s="89"/>
      <c r="G91" s="90"/>
      <c r="H91" s="91"/>
      <c r="I91" s="92"/>
      <c r="J91" s="93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  <c r="IO91" s="27"/>
      <c r="IP91" s="27"/>
      <c r="IQ91" s="27"/>
      <c r="IR91" s="27"/>
      <c r="IS91" s="27"/>
      <c r="IT91" s="27"/>
      <c r="IU91" s="27"/>
      <c r="IV91" s="27"/>
    </row>
    <row r="92" spans="1:256" ht="51" customHeight="1">
      <c r="A92" s="85"/>
      <c r="B92" s="86"/>
      <c r="C92" s="87"/>
      <c r="D92" s="88">
        <f t="shared" si="2"/>
        <v>85</v>
      </c>
      <c r="E92" s="94" t="s">
        <v>116</v>
      </c>
      <c r="F92" s="89"/>
      <c r="G92" s="90"/>
      <c r="H92" s="91"/>
      <c r="I92" s="92"/>
      <c r="J92" s="93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27"/>
      <c r="IR92" s="27"/>
      <c r="IS92" s="27"/>
      <c r="IT92" s="27"/>
      <c r="IU92" s="27"/>
      <c r="IV92" s="27"/>
    </row>
    <row r="93" spans="1:256" ht="41.85" customHeight="1">
      <c r="A93" s="162"/>
      <c r="B93" s="163" t="s">
        <v>32</v>
      </c>
      <c r="C93" s="164" t="s">
        <v>25</v>
      </c>
      <c r="D93" s="165">
        <f>SUM(D87+1)</f>
        <v>81</v>
      </c>
      <c r="E93" s="171" t="s">
        <v>124</v>
      </c>
      <c r="F93" s="166"/>
      <c r="G93" s="172"/>
      <c r="H93" s="173"/>
      <c r="I93" s="169" t="s">
        <v>125</v>
      </c>
      <c r="J93" s="179" t="s">
        <v>112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27"/>
      <c r="IQ93" s="27"/>
      <c r="IR93" s="27"/>
      <c r="IS93" s="27"/>
      <c r="IT93" s="27"/>
      <c r="IU93" s="27"/>
      <c r="IV93" s="27"/>
    </row>
    <row r="94" spans="1:256" ht="49.15" customHeight="1">
      <c r="A94" s="85"/>
      <c r="B94" s="86" t="s">
        <v>32</v>
      </c>
      <c r="C94" s="87"/>
      <c r="D94" s="88">
        <f t="shared" si="2"/>
        <v>82</v>
      </c>
      <c r="E94" s="94" t="s">
        <v>113</v>
      </c>
      <c r="F94" s="89"/>
      <c r="G94" s="175"/>
      <c r="H94" s="176"/>
      <c r="I94" s="92"/>
      <c r="J94" s="93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</row>
    <row r="95" spans="1:256" ht="46.15" customHeight="1">
      <c r="A95" s="85"/>
      <c r="B95" s="86" t="s">
        <v>32</v>
      </c>
      <c r="C95" s="87"/>
      <c r="D95" s="88">
        <f t="shared" si="2"/>
        <v>83</v>
      </c>
      <c r="E95" s="94" t="s">
        <v>114</v>
      </c>
      <c r="F95" s="89"/>
      <c r="G95" s="90"/>
      <c r="H95" s="91"/>
      <c r="I95" s="92"/>
      <c r="J95" s="93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  <c r="IR95" s="27"/>
      <c r="IS95" s="27"/>
      <c r="IT95" s="27"/>
      <c r="IU95" s="27"/>
      <c r="IV95" s="27"/>
    </row>
    <row r="96" spans="1:256" ht="51" customHeight="1">
      <c r="A96" s="85"/>
      <c r="B96" s="86"/>
      <c r="C96" s="87"/>
      <c r="D96" s="88">
        <f t="shared" si="2"/>
        <v>84</v>
      </c>
      <c r="E96" s="94" t="s">
        <v>126</v>
      </c>
      <c r="F96" s="89"/>
      <c r="G96" s="90"/>
      <c r="H96" s="91"/>
      <c r="I96" s="92"/>
      <c r="J96" s="93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</row>
    <row r="97" spans="1:256" ht="51" customHeight="1">
      <c r="A97" s="85"/>
      <c r="B97" s="86"/>
      <c r="C97" s="87"/>
      <c r="D97" s="88">
        <f t="shared" si="2"/>
        <v>85</v>
      </c>
      <c r="E97" s="94" t="s">
        <v>116</v>
      </c>
      <c r="F97" s="89"/>
      <c r="G97" s="90"/>
      <c r="H97" s="91"/>
      <c r="I97" s="92"/>
      <c r="J97" s="93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</row>
    <row r="98" spans="1:256" ht="41.85" customHeight="1">
      <c r="A98" s="162"/>
      <c r="B98" s="163" t="s">
        <v>32</v>
      </c>
      <c r="C98" s="164" t="s">
        <v>25</v>
      </c>
      <c r="D98" s="165">
        <f>SUM(D92+1)</f>
        <v>86</v>
      </c>
      <c r="E98" s="171" t="s">
        <v>127</v>
      </c>
      <c r="F98" s="166"/>
      <c r="G98" s="172"/>
      <c r="H98" s="173"/>
      <c r="I98" s="169" t="s">
        <v>128</v>
      </c>
      <c r="J98" s="179" t="s">
        <v>112</v>
      </c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</row>
    <row r="99" spans="1:256" ht="49.15" customHeight="1">
      <c r="A99" s="85"/>
      <c r="B99" s="86" t="s">
        <v>32</v>
      </c>
      <c r="C99" s="87"/>
      <c r="D99" s="88">
        <f t="shared" si="2"/>
        <v>87</v>
      </c>
      <c r="E99" s="94" t="s">
        <v>113</v>
      </c>
      <c r="F99" s="89"/>
      <c r="G99" s="175"/>
      <c r="H99" s="176"/>
      <c r="I99" s="92"/>
      <c r="J99" s="93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</row>
    <row r="100" spans="1:256" ht="46.15" customHeight="1">
      <c r="A100" s="85"/>
      <c r="B100" s="86" t="s">
        <v>32</v>
      </c>
      <c r="C100" s="87"/>
      <c r="D100" s="88">
        <f t="shared" ref="D100:D103" si="4">SUM(D99+1)</f>
        <v>88</v>
      </c>
      <c r="E100" s="94" t="s">
        <v>114</v>
      </c>
      <c r="F100" s="89"/>
      <c r="G100" s="90"/>
      <c r="H100" s="91"/>
      <c r="I100" s="92"/>
      <c r="J100" s="93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</row>
    <row r="101" spans="1:256" ht="51" customHeight="1">
      <c r="A101" s="85"/>
      <c r="B101" s="86"/>
      <c r="C101" s="87"/>
      <c r="D101" s="88">
        <f t="shared" si="4"/>
        <v>89</v>
      </c>
      <c r="E101" s="94" t="s">
        <v>126</v>
      </c>
      <c r="F101" s="89"/>
      <c r="G101" s="90"/>
      <c r="H101" s="91"/>
      <c r="I101" s="92"/>
      <c r="J101" s="93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</row>
    <row r="102" spans="1:256" ht="51" customHeight="1">
      <c r="A102" s="85"/>
      <c r="B102" s="86"/>
      <c r="C102" s="87"/>
      <c r="D102" s="88">
        <f t="shared" si="4"/>
        <v>90</v>
      </c>
      <c r="E102" s="94" t="s">
        <v>116</v>
      </c>
      <c r="F102" s="89"/>
      <c r="G102" s="90"/>
      <c r="H102" s="91"/>
      <c r="I102" s="92"/>
      <c r="J102" s="93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  <c r="IR102" s="27"/>
      <c r="IS102" s="27"/>
      <c r="IT102" s="27"/>
      <c r="IU102" s="27"/>
      <c r="IV102" s="27"/>
    </row>
    <row r="103" spans="1:256" ht="64.900000000000006" customHeight="1">
      <c r="A103" s="57"/>
      <c r="B103" s="46" t="s">
        <v>32</v>
      </c>
      <c r="C103" s="47" t="s">
        <v>25</v>
      </c>
      <c r="D103" s="58">
        <f t="shared" si="4"/>
        <v>91</v>
      </c>
      <c r="E103" s="72" t="s">
        <v>129</v>
      </c>
      <c r="F103" s="101"/>
      <c r="G103" s="51"/>
      <c r="H103" s="60"/>
      <c r="I103" s="61"/>
      <c r="J103" s="102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  <c r="IR103" s="27"/>
      <c r="IS103" s="27"/>
      <c r="IT103" s="27"/>
      <c r="IU103" s="27"/>
      <c r="IV103" s="27"/>
    </row>
    <row r="104" spans="1:256" ht="50.85" customHeight="1">
      <c r="A104" s="103"/>
      <c r="B104" s="104" t="s">
        <v>32</v>
      </c>
      <c r="C104" s="105" t="s">
        <v>130</v>
      </c>
      <c r="D104" s="106">
        <f t="shared" ref="D104:D137" si="5">SUM(D103+1)</f>
        <v>92</v>
      </c>
      <c r="E104" s="107" t="s">
        <v>131</v>
      </c>
      <c r="F104" s="108"/>
      <c r="G104" s="109"/>
      <c r="H104" s="110"/>
      <c r="I104" s="111"/>
      <c r="J104" s="112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  <c r="IR104" s="27"/>
      <c r="IS104" s="27"/>
      <c r="IT104" s="27"/>
      <c r="IU104" s="27"/>
      <c r="IV104" s="27"/>
    </row>
    <row r="105" spans="1:256" ht="81" customHeight="1">
      <c r="A105" s="103"/>
      <c r="B105" s="104" t="s">
        <v>32</v>
      </c>
      <c r="C105" s="105" t="s">
        <v>132</v>
      </c>
      <c r="D105" s="106">
        <f t="shared" si="5"/>
        <v>93</v>
      </c>
      <c r="E105" s="113" t="s">
        <v>133</v>
      </c>
      <c r="F105" s="108"/>
      <c r="G105" s="111"/>
      <c r="H105" s="110"/>
      <c r="I105" s="111"/>
      <c r="J105" s="112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  <c r="IR105" s="27"/>
      <c r="IS105" s="27"/>
      <c r="IT105" s="27"/>
      <c r="IU105" s="27"/>
      <c r="IV105" s="27"/>
    </row>
    <row r="106" spans="1:256" ht="49.7" customHeight="1">
      <c r="A106" s="103"/>
      <c r="B106" s="104" t="s">
        <v>32</v>
      </c>
      <c r="C106" s="105" t="s">
        <v>25</v>
      </c>
      <c r="D106" s="106">
        <f t="shared" si="5"/>
        <v>94</v>
      </c>
      <c r="E106" s="113" t="s">
        <v>134</v>
      </c>
      <c r="F106" s="108"/>
      <c r="G106" s="111"/>
      <c r="H106" s="110" t="s">
        <v>50</v>
      </c>
      <c r="I106" s="111"/>
      <c r="J106" s="112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</row>
    <row r="107" spans="1:256" ht="59.25" customHeight="1">
      <c r="A107" s="57"/>
      <c r="B107" s="46"/>
      <c r="C107" s="47" t="s">
        <v>25</v>
      </c>
      <c r="D107" s="58">
        <f t="shared" si="5"/>
        <v>95</v>
      </c>
      <c r="E107" s="72" t="s">
        <v>135</v>
      </c>
      <c r="F107" s="101"/>
      <c r="G107" s="61"/>
      <c r="H107" s="60"/>
      <c r="I107" s="61"/>
      <c r="J107" s="102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  <c r="IR107" s="27"/>
      <c r="IS107" s="27"/>
      <c r="IT107" s="27"/>
      <c r="IU107" s="27"/>
      <c r="IV107" s="27"/>
    </row>
    <row r="108" spans="1:256" ht="214.5" customHeight="1">
      <c r="A108" s="151"/>
      <c r="B108" s="95"/>
      <c r="C108" s="96" t="s">
        <v>136</v>
      </c>
      <c r="D108" s="97">
        <f t="shared" si="5"/>
        <v>96</v>
      </c>
      <c r="E108" s="98" t="s">
        <v>137</v>
      </c>
      <c r="F108" s="152" t="s">
        <v>27</v>
      </c>
      <c r="G108" s="100"/>
      <c r="H108" s="99" t="s">
        <v>50</v>
      </c>
      <c r="I108" s="100"/>
      <c r="J108" s="153" t="s">
        <v>138</v>
      </c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  <c r="IT108" s="27"/>
      <c r="IU108" s="27"/>
      <c r="IV108" s="27"/>
    </row>
    <row r="109" spans="1:256" ht="59.25" customHeight="1">
      <c r="A109" s="151"/>
      <c r="B109" s="95"/>
      <c r="C109" s="96" t="s">
        <v>136</v>
      </c>
      <c r="D109" s="97">
        <f t="shared" si="5"/>
        <v>97</v>
      </c>
      <c r="E109" s="98" t="s">
        <v>139</v>
      </c>
      <c r="F109" s="152" t="s">
        <v>27</v>
      </c>
      <c r="G109" s="100"/>
      <c r="H109" s="99"/>
      <c r="I109" s="100"/>
      <c r="J109" s="153" t="s">
        <v>140</v>
      </c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/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  <c r="IO109" s="27"/>
      <c r="IP109" s="27"/>
      <c r="IQ109" s="27"/>
      <c r="IR109" s="27"/>
      <c r="IS109" s="27"/>
      <c r="IT109" s="27"/>
      <c r="IU109" s="27"/>
      <c r="IV109" s="27"/>
    </row>
    <row r="110" spans="1:256" ht="59.25" customHeight="1">
      <c r="A110" s="151"/>
      <c r="B110" s="95"/>
      <c r="C110" s="96" t="s">
        <v>136</v>
      </c>
      <c r="D110" s="97">
        <f t="shared" si="5"/>
        <v>98</v>
      </c>
      <c r="E110" s="180" t="s">
        <v>141</v>
      </c>
      <c r="F110" s="152" t="s">
        <v>27</v>
      </c>
      <c r="G110" s="100"/>
      <c r="H110" s="99"/>
      <c r="I110" s="100"/>
      <c r="J110" s="207" t="s">
        <v>142</v>
      </c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  <c r="IR110" s="27"/>
      <c r="IS110" s="27"/>
      <c r="IT110" s="27"/>
      <c r="IU110" s="27"/>
      <c r="IV110" s="27"/>
    </row>
    <row r="111" spans="1:256" ht="59.25" customHeight="1">
      <c r="A111" s="41"/>
      <c r="B111" s="31" t="s">
        <v>32</v>
      </c>
      <c r="C111" s="37" t="s">
        <v>25</v>
      </c>
      <c r="D111" s="38">
        <f t="shared" si="5"/>
        <v>99</v>
      </c>
      <c r="E111" s="39" t="s">
        <v>143</v>
      </c>
      <c r="F111" s="114" t="s">
        <v>27</v>
      </c>
      <c r="G111" s="64"/>
      <c r="H111" s="63"/>
      <c r="I111" s="64" t="s">
        <v>51</v>
      </c>
      <c r="J111" s="5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/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/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  <c r="IO111" s="27"/>
      <c r="IP111" s="27"/>
      <c r="IQ111" s="27"/>
      <c r="IR111" s="27"/>
      <c r="IS111" s="27"/>
      <c r="IT111" s="27"/>
      <c r="IU111" s="27"/>
      <c r="IV111" s="27"/>
    </row>
    <row r="112" spans="1:256" ht="88.5" customHeight="1">
      <c r="A112" s="41"/>
      <c r="B112" s="31" t="s">
        <v>32</v>
      </c>
      <c r="C112" s="37" t="s">
        <v>25</v>
      </c>
      <c r="D112" s="38">
        <f t="shared" si="5"/>
        <v>100</v>
      </c>
      <c r="E112" s="39" t="s">
        <v>144</v>
      </c>
      <c r="F112" s="114"/>
      <c r="G112" s="64" t="s">
        <v>34</v>
      </c>
      <c r="H112" s="63"/>
      <c r="I112" s="64"/>
      <c r="J112" s="56" t="s">
        <v>145</v>
      </c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  <c r="IT112" s="27"/>
      <c r="IU112" s="27"/>
      <c r="IV112" s="27"/>
    </row>
    <row r="113" spans="1:256" ht="88.5" customHeight="1">
      <c r="A113" s="41"/>
      <c r="B113" s="31" t="s">
        <v>32</v>
      </c>
      <c r="C113" s="37" t="s">
        <v>25</v>
      </c>
      <c r="D113" s="38">
        <f t="shared" si="5"/>
        <v>101</v>
      </c>
      <c r="E113" s="39" t="s">
        <v>146</v>
      </c>
      <c r="F113" s="114"/>
      <c r="G113" s="64"/>
      <c r="H113" s="63" t="s">
        <v>50</v>
      </c>
      <c r="I113" s="64"/>
      <c r="J113" s="56" t="s">
        <v>147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</row>
    <row r="114" spans="1:256" ht="88.5" customHeight="1">
      <c r="A114" s="41"/>
      <c r="B114" s="31" t="s">
        <v>148</v>
      </c>
      <c r="C114" s="37" t="s">
        <v>25</v>
      </c>
      <c r="D114" s="38">
        <f t="shared" si="5"/>
        <v>102</v>
      </c>
      <c r="E114" s="115" t="s">
        <v>149</v>
      </c>
      <c r="F114" s="114"/>
      <c r="G114" s="64"/>
      <c r="H114" s="63" t="s">
        <v>50</v>
      </c>
      <c r="I114" s="64"/>
      <c r="J114" s="116" t="s">
        <v>150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</row>
    <row r="115" spans="1:256" ht="181.5" customHeight="1">
      <c r="A115" s="41"/>
      <c r="B115" s="31" t="s">
        <v>32</v>
      </c>
      <c r="C115" s="26" t="s">
        <v>25</v>
      </c>
      <c r="D115" s="38">
        <f t="shared" si="5"/>
        <v>103</v>
      </c>
      <c r="E115" s="39" t="s">
        <v>151</v>
      </c>
      <c r="F115" s="114" t="s">
        <v>27</v>
      </c>
      <c r="G115" s="64"/>
      <c r="H115" s="63"/>
      <c r="I115" s="64"/>
      <c r="J115" s="56" t="s">
        <v>152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</row>
    <row r="116" spans="1:256" ht="70.5" customHeight="1">
      <c r="A116" s="41"/>
      <c r="B116" s="31" t="s">
        <v>32</v>
      </c>
      <c r="C116" s="26" t="s">
        <v>25</v>
      </c>
      <c r="D116" s="38">
        <f t="shared" si="5"/>
        <v>104</v>
      </c>
      <c r="E116" s="39" t="s">
        <v>153</v>
      </c>
      <c r="F116" s="114" t="s">
        <v>27</v>
      </c>
      <c r="G116" s="64"/>
      <c r="H116" s="63"/>
      <c r="I116" s="64"/>
      <c r="J116" s="5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  <c r="IT116" s="27"/>
      <c r="IU116" s="27"/>
      <c r="IV116" s="27"/>
    </row>
    <row r="117" spans="1:256" ht="262.5" customHeight="1">
      <c r="A117" s="41"/>
      <c r="B117" s="31"/>
      <c r="C117" s="26" t="s">
        <v>25</v>
      </c>
      <c r="D117" s="38">
        <f t="shared" si="5"/>
        <v>105</v>
      </c>
      <c r="E117" s="39"/>
      <c r="F117" s="114" t="s">
        <v>27</v>
      </c>
      <c r="G117" s="64"/>
      <c r="H117" s="63"/>
      <c r="I117" s="64"/>
      <c r="J117" s="5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</row>
    <row r="118" spans="1:256" s="150" customFormat="1" ht="84.2" customHeight="1">
      <c r="A118" s="141"/>
      <c r="B118" s="142" t="s">
        <v>32</v>
      </c>
      <c r="C118" s="143" t="s">
        <v>132</v>
      </c>
      <c r="D118" s="174">
        <f>SUM(D117+1)</f>
        <v>106</v>
      </c>
      <c r="E118" s="144" t="s">
        <v>154</v>
      </c>
      <c r="F118" s="145"/>
      <c r="G118" s="146"/>
      <c r="H118" s="147" t="s">
        <v>50</v>
      </c>
      <c r="I118" s="147"/>
      <c r="J118" s="148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49"/>
      <c r="AF118" s="149"/>
      <c r="AG118" s="149"/>
      <c r="AH118" s="149"/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  <c r="BI118" s="149"/>
      <c r="BJ118" s="149"/>
      <c r="BK118" s="149"/>
      <c r="BL118" s="149"/>
      <c r="BM118" s="149"/>
      <c r="BN118" s="149"/>
      <c r="BO118" s="149"/>
      <c r="BP118" s="149"/>
      <c r="BQ118" s="149"/>
      <c r="BR118" s="149"/>
      <c r="BS118" s="149"/>
      <c r="BT118" s="149"/>
      <c r="BU118" s="149"/>
      <c r="BV118" s="149"/>
      <c r="BW118" s="149"/>
      <c r="BX118" s="149"/>
      <c r="BY118" s="149"/>
      <c r="BZ118" s="149"/>
      <c r="CA118" s="149"/>
      <c r="CB118" s="149"/>
      <c r="CC118" s="149"/>
      <c r="CD118" s="149"/>
      <c r="CE118" s="149"/>
      <c r="CF118" s="149"/>
      <c r="CG118" s="149"/>
      <c r="CH118" s="149"/>
      <c r="CI118" s="149"/>
      <c r="CJ118" s="149"/>
      <c r="CK118" s="149"/>
      <c r="CL118" s="149"/>
      <c r="CM118" s="149"/>
      <c r="CN118" s="149"/>
      <c r="CO118" s="149"/>
      <c r="CP118" s="149"/>
      <c r="CQ118" s="149"/>
      <c r="CR118" s="149"/>
      <c r="CS118" s="149"/>
      <c r="CT118" s="149"/>
      <c r="CU118" s="149"/>
      <c r="CV118" s="149"/>
      <c r="CW118" s="149"/>
      <c r="CX118" s="149"/>
      <c r="CY118" s="149"/>
      <c r="CZ118" s="149"/>
      <c r="DA118" s="149"/>
      <c r="DB118" s="149"/>
      <c r="DC118" s="149"/>
      <c r="DD118" s="149"/>
      <c r="DE118" s="149"/>
      <c r="DF118" s="149"/>
      <c r="DG118" s="149"/>
      <c r="DH118" s="149"/>
      <c r="DI118" s="149"/>
      <c r="DJ118" s="149"/>
      <c r="DK118" s="149"/>
      <c r="DL118" s="149"/>
      <c r="DM118" s="149"/>
      <c r="DN118" s="149"/>
      <c r="DO118" s="149"/>
      <c r="DP118" s="149"/>
      <c r="DQ118" s="149"/>
      <c r="DR118" s="149"/>
      <c r="DS118" s="149"/>
      <c r="DT118" s="149"/>
      <c r="DU118" s="149"/>
      <c r="DV118" s="149"/>
      <c r="DW118" s="149"/>
      <c r="DX118" s="149"/>
      <c r="DY118" s="149"/>
      <c r="DZ118" s="149"/>
      <c r="EA118" s="149"/>
      <c r="EB118" s="149"/>
      <c r="EC118" s="149"/>
      <c r="ED118" s="149"/>
      <c r="EE118" s="149"/>
      <c r="EF118" s="149"/>
      <c r="EG118" s="149"/>
      <c r="EH118" s="149"/>
      <c r="EI118" s="149"/>
      <c r="EJ118" s="149"/>
      <c r="EK118" s="149"/>
      <c r="EL118" s="149"/>
      <c r="EM118" s="149"/>
      <c r="EN118" s="149"/>
      <c r="EO118" s="149"/>
      <c r="EP118" s="149"/>
      <c r="EQ118" s="149"/>
      <c r="ER118" s="149"/>
      <c r="ES118" s="149"/>
      <c r="ET118" s="149"/>
      <c r="EU118" s="149"/>
      <c r="EV118" s="149"/>
      <c r="EW118" s="149"/>
      <c r="EX118" s="149"/>
      <c r="EY118" s="149"/>
      <c r="EZ118" s="149"/>
      <c r="FA118" s="149"/>
      <c r="FB118" s="149"/>
      <c r="FC118" s="149"/>
      <c r="FD118" s="149"/>
      <c r="FE118" s="149"/>
      <c r="FF118" s="149"/>
      <c r="FG118" s="149"/>
      <c r="FH118" s="149"/>
      <c r="FI118" s="149"/>
      <c r="FJ118" s="149"/>
      <c r="FK118" s="149"/>
      <c r="FL118" s="149"/>
      <c r="FM118" s="149"/>
      <c r="FN118" s="149"/>
      <c r="FO118" s="149"/>
      <c r="FP118" s="149"/>
      <c r="FQ118" s="149"/>
      <c r="FR118" s="149"/>
      <c r="FS118" s="149"/>
      <c r="FT118" s="149"/>
      <c r="FU118" s="149"/>
      <c r="FV118" s="149"/>
      <c r="FW118" s="149"/>
      <c r="FX118" s="149"/>
      <c r="FY118" s="149"/>
      <c r="FZ118" s="149"/>
      <c r="GA118" s="149"/>
      <c r="GB118" s="149"/>
      <c r="GC118" s="149"/>
      <c r="GD118" s="149"/>
      <c r="GE118" s="149"/>
      <c r="GF118" s="149"/>
      <c r="GG118" s="149"/>
      <c r="GH118" s="149"/>
      <c r="GI118" s="149"/>
      <c r="GJ118" s="149"/>
      <c r="GK118" s="149"/>
      <c r="GL118" s="149"/>
      <c r="GM118" s="149"/>
      <c r="GN118" s="149"/>
      <c r="GO118" s="149"/>
      <c r="GP118" s="149"/>
      <c r="GQ118" s="149"/>
      <c r="GR118" s="149"/>
      <c r="GS118" s="149"/>
      <c r="GT118" s="149"/>
      <c r="GU118" s="149"/>
      <c r="GV118" s="149"/>
      <c r="GW118" s="149"/>
      <c r="GX118" s="149"/>
      <c r="GY118" s="149"/>
      <c r="GZ118" s="149"/>
      <c r="HA118" s="149"/>
      <c r="HB118" s="149"/>
      <c r="HC118" s="149"/>
      <c r="HD118" s="149"/>
      <c r="HE118" s="149"/>
      <c r="HF118" s="149"/>
      <c r="HG118" s="149"/>
      <c r="HH118" s="149"/>
      <c r="HI118" s="149"/>
      <c r="HJ118" s="149"/>
      <c r="HK118" s="149"/>
      <c r="HL118" s="149"/>
      <c r="HM118" s="149"/>
      <c r="HN118" s="149"/>
      <c r="HO118" s="149"/>
      <c r="HP118" s="149"/>
      <c r="HQ118" s="149"/>
      <c r="HR118" s="149"/>
      <c r="HS118" s="149"/>
      <c r="HT118" s="149"/>
      <c r="HU118" s="149"/>
      <c r="HV118" s="149"/>
      <c r="HW118" s="149"/>
      <c r="HX118" s="149"/>
      <c r="HY118" s="149"/>
      <c r="HZ118" s="149"/>
      <c r="IA118" s="149"/>
      <c r="IB118" s="149"/>
      <c r="IC118" s="149"/>
      <c r="ID118" s="149"/>
      <c r="IE118" s="149"/>
      <c r="IF118" s="149"/>
      <c r="IG118" s="149"/>
      <c r="IH118" s="149"/>
      <c r="II118" s="149"/>
      <c r="IJ118" s="149"/>
      <c r="IK118" s="149"/>
      <c r="IL118" s="149"/>
      <c r="IM118" s="149"/>
      <c r="IN118" s="149"/>
      <c r="IO118" s="149"/>
      <c r="IP118" s="149"/>
      <c r="IQ118" s="149"/>
      <c r="IR118" s="149"/>
      <c r="IS118" s="149"/>
      <c r="IT118" s="149"/>
      <c r="IU118" s="149"/>
      <c r="IV118" s="149"/>
    </row>
    <row r="119" spans="1:256" ht="49.7" customHeight="1">
      <c r="A119" s="103"/>
      <c r="B119" s="104" t="s">
        <v>32</v>
      </c>
      <c r="C119" s="105" t="s">
        <v>25</v>
      </c>
      <c r="D119" s="106">
        <f t="shared" si="5"/>
        <v>107</v>
      </c>
      <c r="E119" s="113" t="s">
        <v>155</v>
      </c>
      <c r="F119" s="108"/>
      <c r="G119" s="111"/>
      <c r="H119" s="110" t="s">
        <v>50</v>
      </c>
      <c r="I119" s="111"/>
      <c r="J119" s="112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</row>
    <row r="120" spans="1:256" ht="59.25" customHeight="1">
      <c r="A120" s="57"/>
      <c r="B120" s="46"/>
      <c r="C120" s="53" t="s">
        <v>25</v>
      </c>
      <c r="D120" s="58">
        <f t="shared" si="5"/>
        <v>108</v>
      </c>
      <c r="E120" s="59" t="s">
        <v>156</v>
      </c>
      <c r="F120" s="101"/>
      <c r="G120" s="61"/>
      <c r="H120" s="60"/>
      <c r="I120" s="61"/>
      <c r="J120" s="102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  <c r="IT120" s="27"/>
      <c r="IU120" s="27"/>
      <c r="IV120" s="27"/>
    </row>
    <row r="121" spans="1:256" ht="52.5" customHeight="1">
      <c r="A121" s="41"/>
      <c r="B121" s="31" t="s">
        <v>32</v>
      </c>
      <c r="C121" s="37" t="s">
        <v>25</v>
      </c>
      <c r="D121" s="38">
        <f t="shared" si="5"/>
        <v>109</v>
      </c>
      <c r="E121" s="55" t="s">
        <v>157</v>
      </c>
      <c r="F121" s="33"/>
      <c r="H121" s="64" t="s">
        <v>50</v>
      </c>
      <c r="I121" s="64"/>
      <c r="J121" s="56" t="s">
        <v>158</v>
      </c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</row>
    <row r="122" spans="1:256" ht="31.7" customHeight="1">
      <c r="A122" s="41"/>
      <c r="B122" s="31" t="s">
        <v>32</v>
      </c>
      <c r="C122" s="37" t="s">
        <v>25</v>
      </c>
      <c r="D122" s="38">
        <f t="shared" si="5"/>
        <v>110</v>
      </c>
      <c r="E122" s="55" t="s">
        <v>159</v>
      </c>
      <c r="F122" s="33"/>
      <c r="H122" s="64" t="s">
        <v>50</v>
      </c>
      <c r="I122" s="64"/>
      <c r="J122" s="5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</row>
    <row r="123" spans="1:256" ht="54" customHeight="1">
      <c r="A123" s="41"/>
      <c r="B123" s="31" t="s">
        <v>32</v>
      </c>
      <c r="C123" s="37" t="s">
        <v>25</v>
      </c>
      <c r="D123" s="38">
        <f t="shared" si="5"/>
        <v>111</v>
      </c>
      <c r="E123" s="83" t="s">
        <v>160</v>
      </c>
      <c r="F123" s="33"/>
      <c r="H123" s="64" t="s">
        <v>50</v>
      </c>
      <c r="I123" s="24"/>
      <c r="J123" s="2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  <c r="FS123" s="27"/>
      <c r="FT123" s="27"/>
      <c r="FU123" s="27"/>
      <c r="FV123" s="27"/>
      <c r="FW123" s="27"/>
      <c r="FX123" s="27"/>
      <c r="FY123" s="27"/>
      <c r="FZ123" s="27"/>
      <c r="GA123" s="27"/>
      <c r="GB123" s="27"/>
      <c r="GC123" s="27"/>
      <c r="GD123" s="27"/>
      <c r="GE123" s="27"/>
      <c r="GF123" s="27"/>
      <c r="GG123" s="27"/>
      <c r="GH123" s="27"/>
      <c r="GI123" s="27"/>
      <c r="GJ123" s="27"/>
      <c r="GK123" s="27"/>
      <c r="GL123" s="27"/>
      <c r="GM123" s="27"/>
      <c r="GN123" s="27"/>
      <c r="GO123" s="27"/>
      <c r="GP123" s="27"/>
      <c r="GQ123" s="27"/>
      <c r="GR123" s="27"/>
      <c r="GS123" s="27"/>
      <c r="GT123" s="27"/>
      <c r="GU123" s="27"/>
      <c r="GV123" s="27"/>
      <c r="GW123" s="27"/>
      <c r="GX123" s="27"/>
      <c r="GY123" s="27"/>
      <c r="GZ123" s="27"/>
      <c r="HA123" s="27"/>
      <c r="HB123" s="27"/>
      <c r="HC123" s="27"/>
      <c r="HD123" s="27"/>
      <c r="HE123" s="27"/>
      <c r="HF123" s="27"/>
      <c r="HG123" s="27"/>
      <c r="HH123" s="27"/>
      <c r="HI123" s="27"/>
      <c r="HJ123" s="27"/>
      <c r="HK123" s="27"/>
      <c r="HL123" s="27"/>
      <c r="HM123" s="27"/>
      <c r="HN123" s="27"/>
      <c r="HO123" s="27"/>
      <c r="HP123" s="27"/>
      <c r="HQ123" s="27"/>
      <c r="HR123" s="27"/>
      <c r="HS123" s="27"/>
      <c r="HT123" s="27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  <c r="IT123" s="27"/>
      <c r="IU123" s="27"/>
      <c r="IV123" s="27"/>
    </row>
    <row r="124" spans="1:256" s="70" customFormat="1">
      <c r="A124" s="127"/>
      <c r="B124" s="159"/>
      <c r="C124" s="121" t="s">
        <v>25</v>
      </c>
      <c r="D124" s="38">
        <f t="shared" si="5"/>
        <v>112</v>
      </c>
      <c r="E124" s="129" t="s">
        <v>161</v>
      </c>
      <c r="H124" s="156" t="s">
        <v>50</v>
      </c>
    </row>
    <row r="125" spans="1:256" ht="39" customHeight="1">
      <c r="A125" s="35"/>
      <c r="B125" s="117" t="s">
        <v>32</v>
      </c>
      <c r="C125" s="37" t="s">
        <v>25</v>
      </c>
      <c r="D125" s="38">
        <f t="shared" si="5"/>
        <v>113</v>
      </c>
      <c r="E125" s="39" t="s">
        <v>162</v>
      </c>
      <c r="F125" s="33" t="s">
        <v>27</v>
      </c>
      <c r="H125" s="24"/>
      <c r="I125" s="24"/>
      <c r="J125" s="22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  <c r="FS125" s="27"/>
      <c r="FT125" s="27"/>
      <c r="FU125" s="27"/>
      <c r="FV125" s="27"/>
      <c r="FW125" s="27"/>
      <c r="FX125" s="27"/>
      <c r="FY125" s="27"/>
      <c r="FZ125" s="27"/>
      <c r="GA125" s="27"/>
      <c r="GB125" s="27"/>
      <c r="GC125" s="27"/>
      <c r="GD125" s="27"/>
      <c r="GE125" s="27"/>
      <c r="GF125" s="27"/>
      <c r="GG125" s="27"/>
      <c r="GH125" s="27"/>
      <c r="GI125" s="27"/>
      <c r="GJ125" s="27"/>
      <c r="GK125" s="27"/>
      <c r="GL125" s="27"/>
      <c r="GM125" s="27"/>
      <c r="GN125" s="27"/>
      <c r="GO125" s="27"/>
      <c r="GP125" s="27"/>
      <c r="GQ125" s="27"/>
      <c r="GR125" s="27"/>
      <c r="GS125" s="27"/>
      <c r="GT125" s="27"/>
      <c r="GU125" s="27"/>
      <c r="GV125" s="27"/>
      <c r="GW125" s="27"/>
      <c r="GX125" s="27"/>
      <c r="GY125" s="27"/>
      <c r="GZ125" s="27"/>
      <c r="HA125" s="27"/>
      <c r="HB125" s="27"/>
      <c r="HC125" s="27"/>
      <c r="HD125" s="27"/>
      <c r="HE125" s="27"/>
      <c r="HF125" s="27"/>
      <c r="HG125" s="27"/>
      <c r="HH125" s="27"/>
      <c r="HI125" s="27"/>
      <c r="HJ125" s="27"/>
      <c r="HK125" s="27"/>
      <c r="HL125" s="27"/>
      <c r="HM125" s="27"/>
      <c r="HN125" s="27"/>
      <c r="HO125" s="27"/>
      <c r="HP125" s="27"/>
      <c r="HQ125" s="27"/>
      <c r="HR125" s="27"/>
      <c r="HS125" s="27"/>
      <c r="HT125" s="27"/>
      <c r="HU125" s="27"/>
      <c r="HV125" s="27"/>
      <c r="HW125" s="27"/>
      <c r="HX125" s="27"/>
      <c r="HY125" s="27"/>
      <c r="HZ125" s="27"/>
      <c r="IA125" s="27"/>
      <c r="IB125" s="27"/>
      <c r="IC125" s="27"/>
      <c r="ID125" s="27"/>
      <c r="IE125" s="27"/>
      <c r="IF125" s="27"/>
      <c r="IG125" s="27"/>
      <c r="IH125" s="27"/>
      <c r="II125" s="27"/>
      <c r="IJ125" s="27"/>
      <c r="IK125" s="27"/>
      <c r="IL125" s="27"/>
      <c r="IM125" s="27"/>
      <c r="IN125" s="27"/>
      <c r="IO125" s="27"/>
      <c r="IP125" s="27"/>
      <c r="IQ125" s="27"/>
      <c r="IR125" s="27"/>
      <c r="IS125" s="27"/>
      <c r="IT125" s="27"/>
      <c r="IU125" s="27"/>
      <c r="IV125" s="27"/>
    </row>
    <row r="126" spans="1:256" ht="54" customHeight="1">
      <c r="A126" s="41"/>
      <c r="B126" s="31" t="s">
        <v>32</v>
      </c>
      <c r="C126" s="37" t="s">
        <v>25</v>
      </c>
      <c r="D126" s="38">
        <f t="shared" si="5"/>
        <v>114</v>
      </c>
      <c r="E126" s="39" t="s">
        <v>163</v>
      </c>
      <c r="F126" s="118" t="s">
        <v>27</v>
      </c>
      <c r="G126" s="24"/>
      <c r="H126" s="63"/>
      <c r="I126" s="24"/>
      <c r="J126" s="2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  <c r="FS126" s="27"/>
      <c r="FT126" s="27"/>
      <c r="FU126" s="27"/>
      <c r="FV126" s="27"/>
      <c r="FW126" s="27"/>
      <c r="FX126" s="27"/>
      <c r="FY126" s="27"/>
      <c r="FZ126" s="27"/>
      <c r="GA126" s="27"/>
      <c r="GB126" s="27"/>
      <c r="GC126" s="27"/>
      <c r="GD126" s="27"/>
      <c r="GE126" s="27"/>
      <c r="GF126" s="27"/>
      <c r="GG126" s="27"/>
      <c r="GH126" s="27"/>
      <c r="GI126" s="27"/>
      <c r="GJ126" s="27"/>
      <c r="GK126" s="27"/>
      <c r="GL126" s="27"/>
      <c r="GM126" s="27"/>
      <c r="GN126" s="27"/>
      <c r="GO126" s="27"/>
      <c r="GP126" s="27"/>
      <c r="GQ126" s="27"/>
      <c r="GR126" s="27"/>
      <c r="GS126" s="27"/>
      <c r="GT126" s="27"/>
      <c r="GU126" s="27"/>
      <c r="GV126" s="27"/>
      <c r="GW126" s="27"/>
      <c r="GX126" s="27"/>
      <c r="GY126" s="27"/>
      <c r="GZ126" s="27"/>
      <c r="HA126" s="27"/>
      <c r="HB126" s="27"/>
      <c r="HC126" s="27"/>
      <c r="HD126" s="27"/>
      <c r="HE126" s="27"/>
      <c r="HF126" s="27"/>
      <c r="HG126" s="27"/>
      <c r="HH126" s="27"/>
      <c r="HI126" s="27"/>
      <c r="HJ126" s="27"/>
      <c r="HK126" s="27"/>
      <c r="HL126" s="27"/>
      <c r="HM126" s="27"/>
      <c r="HN126" s="27"/>
      <c r="HO126" s="27"/>
      <c r="HP126" s="27"/>
      <c r="HQ126" s="27"/>
      <c r="HR126" s="27"/>
      <c r="HS126" s="27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  <c r="IT126" s="27"/>
      <c r="IU126" s="27"/>
      <c r="IV126" s="27"/>
    </row>
    <row r="127" spans="1:256" ht="37.5" customHeight="1">
      <c r="A127" s="41"/>
      <c r="B127" s="31" t="s">
        <v>32</v>
      </c>
      <c r="C127" s="37" t="s">
        <v>25</v>
      </c>
      <c r="D127" s="38">
        <f t="shared" si="5"/>
        <v>115</v>
      </c>
      <c r="E127" s="39" t="s">
        <v>164</v>
      </c>
      <c r="F127" s="114"/>
      <c r="H127" s="25" t="s">
        <v>50</v>
      </c>
      <c r="I127" s="64"/>
      <c r="J127" s="5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</row>
    <row r="128" spans="1:256" ht="54" customHeight="1">
      <c r="A128" s="41"/>
      <c r="B128" s="31" t="s">
        <v>32</v>
      </c>
      <c r="C128" s="37" t="s">
        <v>25</v>
      </c>
      <c r="D128" s="38">
        <f t="shared" si="5"/>
        <v>116</v>
      </c>
      <c r="E128" s="39" t="s">
        <v>165</v>
      </c>
      <c r="F128" s="118"/>
      <c r="H128" s="64" t="s">
        <v>50</v>
      </c>
      <c r="I128" s="24"/>
      <c r="J128" s="2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</row>
    <row r="129" spans="1:256" ht="54" customHeight="1">
      <c r="A129" s="119"/>
      <c r="B129" s="120"/>
      <c r="C129" s="121" t="s">
        <v>25</v>
      </c>
      <c r="D129" s="38">
        <f t="shared" si="5"/>
        <v>117</v>
      </c>
      <c r="E129" s="122" t="s">
        <v>166</v>
      </c>
      <c r="F129" s="123"/>
      <c r="G129" s="124"/>
      <c r="H129" s="125" t="s">
        <v>50</v>
      </c>
      <c r="I129" s="125"/>
      <c r="J129" s="126" t="s">
        <v>167</v>
      </c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/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</row>
    <row r="130" spans="1:256" s="70" customFormat="1">
      <c r="A130" s="127"/>
      <c r="B130" s="154"/>
      <c r="C130" s="121" t="s">
        <v>25</v>
      </c>
      <c r="D130" s="38">
        <f t="shared" si="5"/>
        <v>118</v>
      </c>
      <c r="E130" s="155" t="s">
        <v>168</v>
      </c>
    </row>
    <row r="131" spans="1:256" s="70" customFormat="1">
      <c r="A131" s="127"/>
      <c r="B131" s="128"/>
      <c r="C131" s="121" t="s">
        <v>25</v>
      </c>
      <c r="D131" s="38">
        <f t="shared" si="5"/>
        <v>119</v>
      </c>
      <c r="E131" s="129" t="s">
        <v>169</v>
      </c>
      <c r="G131" s="156"/>
      <c r="H131" s="82" t="s">
        <v>50</v>
      </c>
    </row>
    <row r="132" spans="1:256" s="70" customFormat="1">
      <c r="A132" s="127"/>
      <c r="B132" s="128"/>
      <c r="C132" s="121" t="s">
        <v>25</v>
      </c>
      <c r="D132" s="38">
        <f t="shared" si="5"/>
        <v>120</v>
      </c>
      <c r="E132" s="129" t="s">
        <v>170</v>
      </c>
      <c r="G132" s="156"/>
      <c r="H132" s="157" t="s">
        <v>50</v>
      </c>
      <c r="J132" s="70" t="s">
        <v>171</v>
      </c>
    </row>
    <row r="133" spans="1:256" s="70" customFormat="1" ht="49.15">
      <c r="A133" s="127"/>
      <c r="B133" s="128"/>
      <c r="C133" s="121" t="s">
        <v>25</v>
      </c>
      <c r="D133" s="38">
        <f t="shared" si="5"/>
        <v>121</v>
      </c>
      <c r="E133" s="129" t="s">
        <v>172</v>
      </c>
      <c r="G133" s="156"/>
      <c r="H133" s="157" t="s">
        <v>50</v>
      </c>
    </row>
    <row r="134" spans="1:256" s="70" customFormat="1">
      <c r="A134" s="127"/>
      <c r="B134" s="128"/>
      <c r="C134" s="121" t="s">
        <v>25</v>
      </c>
      <c r="D134" s="38">
        <f t="shared" si="5"/>
        <v>122</v>
      </c>
      <c r="E134" s="129" t="s">
        <v>173</v>
      </c>
      <c r="G134" s="156"/>
      <c r="H134" s="157" t="s">
        <v>50</v>
      </c>
    </row>
    <row r="135" spans="1:256" s="70" customFormat="1">
      <c r="A135" s="127"/>
      <c r="B135" s="128"/>
      <c r="C135" s="121" t="s">
        <v>25</v>
      </c>
      <c r="D135" s="38">
        <f t="shared" si="5"/>
        <v>123</v>
      </c>
      <c r="E135" s="129" t="s">
        <v>174</v>
      </c>
      <c r="H135" s="82" t="s">
        <v>50</v>
      </c>
    </row>
    <row r="136" spans="1:256" s="70" customFormat="1">
      <c r="A136" s="127"/>
      <c r="B136" s="154"/>
      <c r="C136" s="121" t="s">
        <v>25</v>
      </c>
      <c r="D136" s="38">
        <f t="shared" si="5"/>
        <v>124</v>
      </c>
      <c r="E136" s="129" t="s">
        <v>175</v>
      </c>
      <c r="F136" s="156" t="s">
        <v>27</v>
      </c>
    </row>
    <row r="137" spans="1:256" s="70" customFormat="1">
      <c r="A137" s="127"/>
      <c r="B137" s="154"/>
      <c r="C137" s="37" t="s">
        <v>25</v>
      </c>
      <c r="D137" s="38">
        <f t="shared" si="5"/>
        <v>125</v>
      </c>
      <c r="E137" s="158" t="s">
        <v>176</v>
      </c>
      <c r="F137" s="156" t="s">
        <v>27</v>
      </c>
    </row>
  </sheetData>
  <hyperlinks>
    <hyperlink ref="E11" r:id="rId1" xr:uid="{ED2DE67D-C3DE-4597-9F4C-07118C9A4D03}"/>
  </hyperlinks>
  <pageMargins left="0.7" right="0.7" top="0.75" bottom="0.75" header="0.3" footer="0.3"/>
  <pageSetup scale="44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M19"/>
  <sheetViews>
    <sheetView workbookViewId="0">
      <selection activeCell="D30" sqref="D30"/>
    </sheetView>
  </sheetViews>
  <sheetFormatPr defaultRowHeight="14.45"/>
  <cols>
    <col min="1" max="1" width="14.42578125" bestFit="1" customWidth="1"/>
    <col min="2" max="2" width="11.42578125" bestFit="1" customWidth="1"/>
    <col min="4" max="4" width="12.140625" bestFit="1" customWidth="1"/>
    <col min="5" max="5" width="11.42578125" bestFit="1" customWidth="1"/>
  </cols>
  <sheetData>
    <row r="1" spans="1:13">
      <c r="A1" s="4" t="s">
        <v>177</v>
      </c>
      <c r="D1" s="4" t="s">
        <v>178</v>
      </c>
    </row>
    <row r="2" spans="1:13">
      <c r="B2" s="3" t="s">
        <v>179</v>
      </c>
      <c r="E2" s="3" t="s">
        <v>179</v>
      </c>
    </row>
    <row r="3" spans="1:13">
      <c r="B3" t="s">
        <v>180</v>
      </c>
      <c r="C3" t="s">
        <v>181</v>
      </c>
      <c r="E3" t="s">
        <v>180</v>
      </c>
    </row>
    <row r="4" spans="1:13">
      <c r="B4" t="s">
        <v>182</v>
      </c>
      <c r="C4" t="s">
        <v>183</v>
      </c>
      <c r="E4" t="s">
        <v>182</v>
      </c>
    </row>
    <row r="5" spans="1:13">
      <c r="B5" t="s">
        <v>184</v>
      </c>
      <c r="C5" t="s">
        <v>183</v>
      </c>
      <c r="E5" t="s">
        <v>184</v>
      </c>
      <c r="J5" t="s">
        <v>185</v>
      </c>
    </row>
    <row r="6" spans="1:13">
      <c r="B6" t="s">
        <v>186</v>
      </c>
      <c r="C6" t="s">
        <v>183</v>
      </c>
      <c r="E6" t="s">
        <v>186</v>
      </c>
      <c r="J6" t="s">
        <v>187</v>
      </c>
    </row>
    <row r="7" spans="1:13">
      <c r="B7" t="s">
        <v>188</v>
      </c>
      <c r="C7" t="s">
        <v>183</v>
      </c>
      <c r="E7" t="s">
        <v>188</v>
      </c>
    </row>
    <row r="8" spans="1:13">
      <c r="B8" t="s">
        <v>189</v>
      </c>
      <c r="C8" t="s">
        <v>183</v>
      </c>
      <c r="E8" t="s">
        <v>189</v>
      </c>
    </row>
    <row r="9" spans="1:13">
      <c r="B9" t="s">
        <v>190</v>
      </c>
      <c r="C9" t="s">
        <v>183</v>
      </c>
      <c r="E9" t="s">
        <v>190</v>
      </c>
      <c r="J9" t="s">
        <v>191</v>
      </c>
    </row>
    <row r="10" spans="1:13">
      <c r="B10" t="s">
        <v>192</v>
      </c>
      <c r="C10" t="s">
        <v>183</v>
      </c>
      <c r="E10" t="s">
        <v>192</v>
      </c>
      <c r="J10" t="s">
        <v>193</v>
      </c>
      <c r="L10" t="s">
        <v>194</v>
      </c>
    </row>
    <row r="11" spans="1:13">
      <c r="B11" t="s">
        <v>195</v>
      </c>
      <c r="C11" t="s">
        <v>183</v>
      </c>
      <c r="E11" t="s">
        <v>195</v>
      </c>
    </row>
    <row r="12" spans="1:13">
      <c r="B12" t="s">
        <v>196</v>
      </c>
      <c r="C12" t="s">
        <v>183</v>
      </c>
      <c r="E12" t="s">
        <v>196</v>
      </c>
      <c r="J12" s="2" t="s">
        <v>197</v>
      </c>
      <c r="K12" s="2"/>
      <c r="L12" s="2" t="s">
        <v>198</v>
      </c>
      <c r="M12" s="2"/>
    </row>
    <row r="13" spans="1:13" ht="43.15">
      <c r="A13" s="8" t="s">
        <v>199</v>
      </c>
      <c r="B13" s="2" t="s">
        <v>200</v>
      </c>
      <c r="C13" t="s">
        <v>183</v>
      </c>
      <c r="E13" t="s">
        <v>201</v>
      </c>
    </row>
    <row r="14" spans="1:13">
      <c r="B14" t="s">
        <v>201</v>
      </c>
      <c r="C14" t="s">
        <v>202</v>
      </c>
      <c r="E14" t="s">
        <v>203</v>
      </c>
    </row>
    <row r="15" spans="1:13">
      <c r="B15" t="s">
        <v>203</v>
      </c>
      <c r="C15" t="s">
        <v>204</v>
      </c>
    </row>
    <row r="16" spans="1:13" ht="43.15">
      <c r="A16" s="8" t="s">
        <v>199</v>
      </c>
      <c r="B16" s="2" t="s">
        <v>205</v>
      </c>
      <c r="C16" t="s">
        <v>206</v>
      </c>
      <c r="D16" s="7" t="s">
        <v>207</v>
      </c>
      <c r="E16" s="7"/>
      <c r="F16" s="7"/>
      <c r="G16" s="7"/>
    </row>
    <row r="19" spans="2:2">
      <c r="B19" t="s">
        <v>208</v>
      </c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8:H26"/>
  <sheetViews>
    <sheetView topLeftCell="A16" workbookViewId="0">
      <selection activeCell="A10" sqref="A10"/>
    </sheetView>
  </sheetViews>
  <sheetFormatPr defaultRowHeight="14.45"/>
  <cols>
    <col min="3" max="3" width="79.5703125" customWidth="1"/>
    <col min="8" max="8" width="73.7109375" customWidth="1"/>
  </cols>
  <sheetData>
    <row r="8" spans="3:8" ht="18">
      <c r="C8" s="134" t="s">
        <v>209</v>
      </c>
    </row>
    <row r="10" spans="3:8" ht="27">
      <c r="C10" s="13" t="s">
        <v>149</v>
      </c>
      <c r="D10" s="14"/>
      <c r="E10" s="15" t="s">
        <v>34</v>
      </c>
      <c r="F10" s="16"/>
      <c r="G10" s="15"/>
      <c r="H10" s="17" t="s">
        <v>150</v>
      </c>
    </row>
    <row r="12" spans="3:8">
      <c r="C12" s="133" t="s">
        <v>210</v>
      </c>
    </row>
    <row r="17" spans="2:2">
      <c r="B17" t="s">
        <v>211</v>
      </c>
    </row>
    <row r="26" spans="2:2">
      <c r="B26" t="s">
        <v>211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McLane Company,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Engbrock</dc:creator>
  <cp:keywords/>
  <dc:description/>
  <cp:lastModifiedBy>Arunakumar Dalai</cp:lastModifiedBy>
  <cp:revision/>
  <dcterms:created xsi:type="dcterms:W3CDTF">2016-07-15T20:38:30Z</dcterms:created>
  <dcterms:modified xsi:type="dcterms:W3CDTF">2026-04-30T10:48:13Z</dcterms:modified>
  <cp:category/>
  <cp:contentStatus/>
</cp:coreProperties>
</file>