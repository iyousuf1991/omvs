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ole Swap 2025\DEVA - 99 - Role Swaps DEVAs from COLO Back to Temple\"/>
    </mc:Choice>
  </mc:AlternateContent>
  <xr:revisionPtr revIDLastSave="0" documentId="13_ncr:1_{73335205-4337-456F-834F-4F2195DFD9FA}" xr6:coauthVersionLast="47" xr6:coauthVersionMax="47" xr10:uidLastSave="{00000000-0000-0000-0000-000000000000}"/>
  <bookViews>
    <workbookView xWindow="-28380" yWindow="1635" windowWidth="19380" windowHeight="13470" firstSheet="1" activeTab="1" xr2:uid="{00000000-000D-0000-FFFF-FFFF00000000}"/>
  </bookViews>
  <sheets>
    <sheet name="Testers" sheetId="21" r:id="rId1"/>
    <sheet name="iSeries" sheetId="1" r:id="rId2"/>
    <sheet name="SBS" sheetId="5" r:id="rId3"/>
    <sheet name="Keys Apply Prior" sheetId="2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 s="1"/>
  <c r="D9" i="1" s="1"/>
  <c r="D10" i="1" s="1"/>
  <c r="D11" i="1" s="1"/>
  <c r="D12" i="1" l="1"/>
  <c r="D13" i="1" s="1"/>
  <c r="D14" i="1" s="1"/>
  <c r="D15" i="1" l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l="1"/>
  <c r="D29" i="1" s="1"/>
  <c r="D30" i="1" s="1"/>
  <c r="D31" i="1" s="1"/>
  <c r="D32" i="1" s="1"/>
  <c r="D33" i="1" s="1"/>
  <c r="D34" i="1" s="1"/>
  <c r="D35" i="1" l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7" i="1" s="1"/>
  <c r="D58" i="1" s="1"/>
  <c r="D59" i="1" l="1"/>
  <c r="D60" i="1" s="1"/>
  <c r="D61" i="1" s="1"/>
  <c r="D62" i="1" s="1"/>
  <c r="D63" i="1" s="1"/>
  <c r="D64" i="1" s="1"/>
  <c r="D65" i="1" s="1"/>
  <c r="D66" i="1" s="1"/>
  <c r="D67" i="1" s="1"/>
  <c r="D68" i="1" l="1"/>
  <c r="D69" i="1" s="1"/>
  <c r="D70" i="1" s="1"/>
  <c r="D71" i="1" s="1"/>
  <c r="D72" i="1" l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1" i="1" s="1"/>
  <c r="D102" i="1" s="1"/>
  <c r="D103" i="1" s="1"/>
  <c r="D104" i="1" s="1"/>
  <c r="D105" i="1" s="1"/>
  <c r="D106" i="1" s="1"/>
  <c r="D107" i="1" s="1"/>
  <c r="D100" i="1" l="1"/>
  <c r="D113" i="1"/>
  <c r="D114" i="1" s="1"/>
  <c r="D115" i="1" s="1"/>
  <c r="D116" i="1" s="1"/>
  <c r="D117" i="1" s="1"/>
  <c r="D123" i="1" s="1"/>
  <c r="D124" i="1" s="1"/>
  <c r="D125" i="1" s="1"/>
  <c r="D126" i="1" s="1"/>
  <c r="D127" i="1" s="1"/>
  <c r="D133" i="1" s="1"/>
  <c r="D134" i="1" s="1"/>
  <c r="D135" i="1" s="1"/>
  <c r="D136" i="1" s="1"/>
  <c r="D137" i="1" s="1"/>
  <c r="D108" i="1"/>
  <c r="D109" i="1" s="1"/>
  <c r="D110" i="1" s="1"/>
  <c r="D111" i="1" s="1"/>
  <c r="D112" i="1" s="1"/>
  <c r="D118" i="1" s="1"/>
  <c r="D119" i="1" s="1"/>
  <c r="D120" i="1" s="1"/>
  <c r="D121" i="1" s="1"/>
  <c r="D122" i="1" s="1"/>
  <c r="D128" i="1" s="1"/>
  <c r="D129" i="1" s="1"/>
  <c r="D130" i="1" s="1"/>
  <c r="D131" i="1" s="1"/>
  <c r="D132" i="1" s="1"/>
  <c r="D139" i="1" l="1"/>
  <c r="D140" i="1" s="1"/>
  <c r="D141" i="1" s="1"/>
  <c r="D142" i="1" s="1"/>
  <c r="D145" i="1" s="1"/>
  <c r="D146" i="1" s="1"/>
  <c r="D138" i="1"/>
  <c r="D147" i="1" l="1"/>
  <c r="D148" i="1" s="1"/>
  <c r="D149" i="1" s="1"/>
  <c r="D150" i="1" s="1"/>
  <c r="D151" i="1" s="1"/>
  <c r="D152" i="1" s="1"/>
  <c r="D153" i="1" l="1"/>
  <c r="D154" i="1" s="1"/>
  <c r="D155" i="1" s="1"/>
  <c r="D156" i="1" s="1"/>
  <c r="D157" i="1" s="1"/>
  <c r="D158" i="1" s="1"/>
  <c r="D159" i="1" l="1"/>
  <c r="D160" i="1" s="1"/>
  <c r="D161" i="1" s="1"/>
  <c r="D162" i="1" s="1"/>
  <c r="D163" i="1" s="1"/>
  <c r="D164" i="1" s="1"/>
  <c r="D165" i="1" s="1"/>
  <c r="D166" i="1" s="1"/>
  <c r="D167" i="1" s="1"/>
  <c r="D168" i="1" l="1"/>
  <c r="D169" i="1" s="1"/>
  <c r="D170" i="1" s="1"/>
  <c r="D171" i="1" s="1"/>
  <c r="D172" i="1" s="1"/>
  <c r="D173" i="1" s="1"/>
  <c r="D176" i="1" s="1"/>
  <c r="D177" i="1" s="1"/>
  <c r="D178" i="1" s="1"/>
  <c r="D179" i="1" s="1"/>
  <c r="D181" i="1" s="1"/>
  <c r="D182" i="1" s="1"/>
  <c r="D183" i="1" s="1"/>
</calcChain>
</file>

<file path=xl/sharedStrings.xml><?xml version="1.0" encoding="utf-8"?>
<sst xmlns="http://schemas.openxmlformats.org/spreadsheetml/2006/main" count="830" uniqueCount="350">
  <si>
    <r>
      <t xml:space="preserve">1   Role Swap </t>
    </r>
    <r>
      <rPr>
        <b/>
        <sz val="11"/>
        <color rgb="FFFF0000"/>
        <rFont val="Trebuchet MS"/>
        <family val="2"/>
      </rPr>
      <t>DEVA</t>
    </r>
    <r>
      <rPr>
        <b/>
        <sz val="11"/>
        <color rgb="FF000000"/>
        <rFont val="Trebuchet MS"/>
        <family val="2"/>
      </rPr>
      <t xml:space="preserve">/Colo - OS 7.5  to </t>
    </r>
    <r>
      <rPr>
        <b/>
        <sz val="11"/>
        <color rgb="FFFF0000"/>
        <rFont val="Trebuchet MS"/>
        <family val="2"/>
      </rPr>
      <t>DEVA</t>
    </r>
    <r>
      <rPr>
        <b/>
        <sz val="11"/>
        <color rgb="FF000000"/>
        <rFont val="Trebuchet MS"/>
        <family val="2"/>
      </rPr>
      <t>/Temple - OS 7.5</t>
    </r>
  </si>
  <si>
    <r>
      <rPr>
        <sz val="11"/>
        <color theme="1"/>
        <rFont val="Trebuchet MS"/>
        <family val="2"/>
      </rPr>
      <t>Friday Starting at 07</t>
    </r>
    <r>
      <rPr>
        <sz val="11"/>
        <color rgb="FFFF0000"/>
        <rFont val="Trebuchet MS"/>
        <family val="2"/>
      </rPr>
      <t>:00 pm</t>
    </r>
  </si>
  <si>
    <t>Kyle Cushman</t>
  </si>
  <si>
    <t>Scott David</t>
  </si>
  <si>
    <t>DATE:</t>
  </si>
  <si>
    <t xml:space="preserve"> </t>
  </si>
  <si>
    <t>iSeries System Outage Agenda</t>
  </si>
  <si>
    <t>Start</t>
  </si>
  <si>
    <t>End</t>
  </si>
  <si>
    <t>Steps</t>
  </si>
  <si>
    <t>Activity</t>
  </si>
  <si>
    <t>Sys</t>
  </si>
  <si>
    <t>Notes</t>
  </si>
  <si>
    <t>CM-14792, ISERIES-840</t>
  </si>
  <si>
    <t>INFO</t>
  </si>
  <si>
    <t>Friday - 02/28/2024 -- Role Swap DEVAColo - OS .7.5 back to DEVATemple - OS. 7.5</t>
  </si>
  <si>
    <t>Mary</t>
  </si>
  <si>
    <t>Logon to Teams Meeting</t>
  </si>
  <si>
    <t xml:space="preserve">   </t>
  </si>
  <si>
    <t>RUN ETS50021 to enable SYSMGMT</t>
  </si>
  <si>
    <t xml:space="preserve">DEVAC  </t>
  </si>
  <si>
    <r>
      <t xml:space="preserve">Signon to CONSOLE as </t>
    </r>
    <r>
      <rPr>
        <b/>
        <sz val="20"/>
        <rFont val="Segoe UI Mono"/>
        <family val="3"/>
      </rPr>
      <t>SYSMGMT</t>
    </r>
    <r>
      <rPr>
        <sz val="20"/>
        <rFont val="Segoe UI Mono"/>
        <family val="3"/>
      </rPr>
      <t xml:space="preserve"> to DEVA/Colo  Then go to Opt. 10 on screen.</t>
    </r>
  </si>
  <si>
    <t>10.7.1.130</t>
  </si>
  <si>
    <t>DNS</t>
  </si>
  <si>
    <t>https://olamvssprod.mclaneco.com</t>
  </si>
  <si>
    <t>ipconfig /flushdns</t>
  </si>
  <si>
    <t>Select Template Needed                                                                                                                                                            Change DNS: DEVA to point from 10.7.1.161 to 10.7.1.231</t>
  </si>
  <si>
    <t>Test ping after DNS chgs: DEVA; DEVA.APPN.SNA.IBM.COM</t>
  </si>
  <si>
    <r>
      <t xml:space="preserve">End </t>
    </r>
    <r>
      <rPr>
        <b/>
        <u/>
        <sz val="20"/>
        <color rgb="FFFF0000"/>
        <rFont val="Segoe UI Mono"/>
        <family val="3"/>
      </rPr>
      <t xml:space="preserve">Goldengate </t>
    </r>
  </si>
  <si>
    <t>MLENGBR2</t>
  </si>
  <si>
    <t>Logon to DEVA&gt;Addlible goldengate&gt; ggsci &gt; stop manager 'y'</t>
  </si>
  <si>
    <t>DEVAC</t>
  </si>
  <si>
    <t>Run Robot Job &gt; ETS95040 - stopAll</t>
  </si>
  <si>
    <t>ENDSBS SBS(GOLDENGATE) OPTION(*IMMED)</t>
  </si>
  <si>
    <t>SYSMGMT</t>
  </si>
  <si>
    <t xml:space="preserve">END LEVEL 3  </t>
  </si>
  <si>
    <r>
      <t xml:space="preserve">End level 3 on DEVA/colo  </t>
    </r>
    <r>
      <rPr>
        <b/>
        <sz val="20"/>
        <color rgb="FFFF0000"/>
        <rFont val="Segoe UI Mono"/>
        <family val="3"/>
      </rPr>
      <t>(Option 3)</t>
    </r>
    <r>
      <rPr>
        <sz val="20"/>
        <rFont val="Segoe UI Mono"/>
        <family val="3"/>
      </rPr>
      <t xml:space="preserve"> (Wail until IPL_PRCS completes) WRKACTJOB SBS(QCTL)</t>
    </r>
  </si>
  <si>
    <t>orderpost, dcl511sbs, tserver, rbtsleeper</t>
  </si>
  <si>
    <t>QSECOFR</t>
  </si>
  <si>
    <t>Start Role Swap from DEVACCarrollton to DEVA/T-P10 Temple</t>
  </si>
  <si>
    <t>Logoff and back on to CONSOLE as QSECOFR  DEVACCarrollton</t>
  </si>
  <si>
    <t>WRKCLU</t>
  </si>
  <si>
    <t>Run CHKDUPLIBS  IASP(DAHAIASP)</t>
  </si>
  <si>
    <t>addlible qzrdpwrha/qzrdhasm</t>
  </si>
  <si>
    <t>QSYS/WRKASPJOB   *end all jobs</t>
  </si>
  <si>
    <t>Verify that all SUBSYSTEMS HAVE ENDED IN LEVEL 3</t>
  </si>
  <si>
    <t>Take Option 9 - Verify DEVADEVCRG Resource Group is Active and Primary Node is Correct</t>
  </si>
  <si>
    <t>Went to Switch pending/logged me off/does varyoff iasp on source and starts iasp on target/goes from switch pending to active</t>
  </si>
  <si>
    <t>Option 6</t>
  </si>
  <si>
    <t>Take Option 10 - Verify ASP Copy&gt; Take Option 25 on DEVAHA, make sure Asp Copy is Correct</t>
  </si>
  <si>
    <t>qbatch has to be active….start sbs qbatch in library qsys on all 4 nodes</t>
  </si>
  <si>
    <t>DEVAT</t>
  </si>
  <si>
    <t>Take Option 9 &gt; Take Option 3=Change primary&gt; DEVADEVCRG</t>
  </si>
  <si>
    <t>logs me off</t>
  </si>
  <si>
    <t>fixes it's self</t>
  </si>
  <si>
    <t>QSYSWRK</t>
  </si>
  <si>
    <t>Job ends once it has vary off the iasp</t>
  </si>
  <si>
    <t>Start another session to DEVAColo to monitor:  ASP State will go to VARYOFF</t>
  </si>
  <si>
    <t>3:10 mins to varyoff</t>
  </si>
  <si>
    <t>Signon to CONSOLE as QSECOFR on DEVAT Temple to Monitor: ASP State will go to AVAILABLE</t>
  </si>
  <si>
    <t>10.7.1.180</t>
  </si>
  <si>
    <t>FS7300</t>
  </si>
  <si>
    <t xml:space="preserve">Verify Direction of Replication has been switch </t>
  </si>
  <si>
    <t>1:23 mins to varyon</t>
  </si>
  <si>
    <t>10.7.1.132/182</t>
  </si>
  <si>
    <t>Verify Cluster that all 4 nodes are active</t>
  </si>
  <si>
    <t>PREP - 3rd party software on DEVAT - Temple</t>
  </si>
  <si>
    <t>Login as SYSMGMT</t>
  </si>
  <si>
    <t>A</t>
  </si>
  <si>
    <t>Apply Spyview Key</t>
  </si>
  <si>
    <t>STRSPY&gt;F21</t>
  </si>
  <si>
    <t xml:space="preserve">CLRPFM FILE(SPYVIEW/MFKYLIC) </t>
  </si>
  <si>
    <t>SN# 7858201</t>
  </si>
  <si>
    <t xml:space="preserve"> CLRPFM FILE(SPYVIEW/MFKYMST)</t>
  </si>
  <si>
    <t>F12&gt;Option 7&gt; D259D0E7699C670F2A05A6F6EFF74106</t>
  </si>
  <si>
    <t>LPAR NUMBER:   002</t>
  </si>
  <si>
    <t>Select Products and apply Users and Demo Date</t>
  </si>
  <si>
    <t>START SPYVIEW PRINT DISTRIBUTION</t>
  </si>
  <si>
    <t>CALL PRDETSSRC/STRDSTLIS4 starts 335 jobs in jobq SPYGLSDST</t>
  </si>
  <si>
    <t>STRMON if needed</t>
  </si>
  <si>
    <t>OS ISSUE</t>
  </si>
  <si>
    <t>1.        QPMLPMGT/QSYS change *public from *exclude to *use  ----- SPYVIEW needs this</t>
  </si>
  <si>
    <t>B</t>
  </si>
  <si>
    <t xml:space="preserve">KEY - Apply Turnover Key    </t>
  </si>
  <si>
    <t>need to apply</t>
  </si>
  <si>
    <t>IFS/IASP     KEY:    /home/unicom/licenses/*      TN4            ******REPLICATES</t>
  </si>
  <si>
    <t>'RENAME License to LicenseC2025 and LicenseT2025 to License</t>
  </si>
  <si>
    <t>TWRKLIC</t>
  </si>
  <si>
    <t>LPAR 002</t>
  </si>
  <si>
    <t>STRSBS AMSCONFIG/TSERVER if not started</t>
  </si>
  <si>
    <t>Option 11&gt;Option 1&gt;2=change DEVA&gt;Change Serial number to *LOCAL and Press Enter</t>
  </si>
  <si>
    <t>logon as mlengbr2-SN# 7858201</t>
  </si>
  <si>
    <t>before</t>
  </si>
  <si>
    <t>400-42A-7858201</t>
  </si>
  <si>
    <t xml:space="preserve">C  </t>
  </si>
  <si>
    <t xml:space="preserve">KEY - Verify DSI Key ****************** 90 Days  * get screen shots for perm codes </t>
  </si>
  <si>
    <t>Logon to Verify</t>
  </si>
  <si>
    <t>DLTOBJ OBJ(DCL511DTA/DSIPROTECT) OBJTYPE(*DTAARA)</t>
  </si>
  <si>
    <t>Key by SN# - SVC_DCLINK</t>
  </si>
  <si>
    <t>CRTDTAARA DTAARA(DCL511DTA/DSIPROTECT) TYPE(*CHAR) LEN(24)
VALUE(X'C1E935EDACCF9B5D14DBE418D19A7E5CC4DDD2CC383A813A')</t>
  </si>
  <si>
    <t>NO SPACES!!!!key not needed for DSI to run.  It's use for SVC_DCLINK interface 13</t>
  </si>
  <si>
    <t>D</t>
  </si>
  <si>
    <t xml:space="preserve">KEY -  INIT and APPLY JDE KEYS - JDE World/ dspjdelvl/97   A7.3 cum 7 </t>
  </si>
  <si>
    <t>https://licensecodes.oracle.com/cgi-bin/keygen.pl                                                  https://www.oracle.com/support/license-codes/jd-edwards-world.html</t>
  </si>
  <si>
    <t>SAME KEY AS BEFORE BY SERIAL NO</t>
  </si>
  <si>
    <t>Logon as SYSMGMT</t>
  </si>
  <si>
    <t>CHGDTAARA DTAARA(JDFOBJA73/QJDF (496 17)) VALUE(‘060139RPGHDB00701’)</t>
  </si>
  <si>
    <t>SAME KEY AS BEFORE/BY SN# will be same for prode</t>
  </si>
  <si>
    <t>DSPDTAARA JDFOBJA73/QJDF for Verification</t>
  </si>
  <si>
    <t xml:space="preserve">Screen Shot of DEVA KEY B/4 ROLE SWAP </t>
  </si>
  <si>
    <t xml:space="preserve">Screen shot of DEVA KEY Aft ROLE SWAP </t>
  </si>
  <si>
    <t>Logon as QSECOFR</t>
  </si>
  <si>
    <t>SETASPGRP ASPGRP(DAHAIASP)</t>
  </si>
  <si>
    <t xml:space="preserve">Have to KEY Each on at a Time!!!  </t>
  </si>
  <si>
    <t>WRKOBJLCK OBJ(QGPL/JDE_IDX_1) OBJTYPE(*USRIDX)</t>
  </si>
  <si>
    <t>WRKOBJLCK OBJ(QGPL/JDE_IDX_2) OBJTYPE(*USRIDX)</t>
  </si>
  <si>
    <t>WRKOBJLCK OBJ(QGPL/JDE_IDX_3) OBJTYPE(*USRIDX)</t>
  </si>
  <si>
    <t>WRKOBJLCK OBJ(QGPL/JDE_IDX_4) OBJTYPE(*USRIDX)</t>
  </si>
  <si>
    <t>WRKOBJ OBJ(QGPL/JDE*) OBJTYPE(*USRIDX)</t>
  </si>
  <si>
    <r>
      <t xml:space="preserve">DELETE 1-4 </t>
    </r>
    <r>
      <rPr>
        <b/>
        <sz val="20"/>
        <color rgb="FFFF0000"/>
        <rFont val="Segoe UI Mono"/>
        <family val="3"/>
      </rPr>
      <t>ONLY!</t>
    </r>
  </si>
  <si>
    <r>
      <t xml:space="preserve">SBMJOB CMD(CALL PGM(JDFOBJA73/J98802JQ)) </t>
    </r>
    <r>
      <rPr>
        <b/>
        <sz val="20"/>
        <color rgb="FFFF0000"/>
        <rFont val="Segoe UI Mono"/>
        <family val="3"/>
      </rPr>
      <t>JOBQ(QUSRSYS/QCTL1)</t>
    </r>
    <r>
      <rPr>
        <sz val="20"/>
        <rFont val="Segoe UI Mono"/>
        <family val="3"/>
      </rPr>
      <t xml:space="preserve"> INLLIBL(QTEMP JDFOBJA73 PRDCOMA73 PRDDATA73 SECUREA73 QGPL) LOG(0 99 *SECLVL)</t>
    </r>
  </si>
  <si>
    <t>CALL QCMD AND PASTE and PAST NEXT</t>
  </si>
  <si>
    <t>Rebuilds 1-4</t>
  </si>
  <si>
    <t>DXRECOV</t>
  </si>
  <si>
    <t>Signoff and Log Back :  as DXRECOV/march1</t>
  </si>
  <si>
    <t>G90&gt;OPTION 5&gt;F2&gt;CALL J99LSF#&gt; I &gt; 00 &gt; Press Enter&gt;                                                                              C &gt; 00 &gt; Apply new Install Key Matrix and Press Enter</t>
  </si>
  <si>
    <r>
      <t xml:space="preserve">System 00 Install Key </t>
    </r>
    <r>
      <rPr>
        <b/>
        <sz val="20"/>
        <rFont val="Segoe UI Mono"/>
        <family val="3"/>
      </rPr>
      <t xml:space="preserve">                        L123M12345NO27 </t>
    </r>
  </si>
  <si>
    <t>Screen Shot Prior to Role Swap</t>
  </si>
  <si>
    <t>Go CSEC Menu&gt; Take Option 2 &gt; Alpha Name.. A&gt;Press Enter&gt;&gt; Option 2 for Verification&gt;I &gt; PAGE DOWN</t>
  </si>
  <si>
    <t>G94&gt;14&gt;F6 to Verify Software Secuirty Code</t>
  </si>
  <si>
    <t>changed/1/4/1 from 3 to blank (first line)</t>
  </si>
  <si>
    <t>E</t>
  </si>
  <si>
    <t>Robot Schedule Changes due to Different System names (completion history)</t>
  </si>
  <si>
    <t>logon as mlengbr2</t>
  </si>
  <si>
    <t>RBTSYSLIB/RSLSHUTDWN</t>
  </si>
  <si>
    <t xml:space="preserve">Bring down RBTSLEEPER Subsystem by running </t>
  </si>
  <si>
    <t>SKIP</t>
  </si>
  <si>
    <t>RSLCHGSYSN BEFORE(DEVA) AFTER(DEVA) PRODUCT(ROBOT)</t>
  </si>
  <si>
    <t>same system name</t>
  </si>
  <si>
    <t>RSLSETOID PRC(RBT)</t>
  </si>
  <si>
    <t>NOT NEEDED</t>
  </si>
  <si>
    <t>APPLY ROBOT SCHDULE KEY:  IF NEEDED</t>
  </si>
  <si>
    <t>Schedule is in the IASP</t>
  </si>
  <si>
    <t>STRSBS SBSD(RBTSYSLIB/RBTSLEEPER)</t>
  </si>
  <si>
    <t>changed/1/4/1 from 3 to blank 'Delay Robot startup in minutes'</t>
  </si>
  <si>
    <t>KEY/SYSBAS</t>
  </si>
  <si>
    <t xml:space="preserve"> Verify Formsprint </t>
  </si>
  <si>
    <t>MY ID</t>
  </si>
  <si>
    <t>KEYS are IN ICSPROG/SYSBAS</t>
  </si>
  <si>
    <t>CAN SKIP</t>
  </si>
  <si>
    <r>
      <t>Check Formsprint #3 (otherwise, do F16&gt;3&gt;Verify  3  CALL ICSPROG/FMSTCTL</t>
    </r>
    <r>
      <rPr>
        <b/>
        <sz val="20"/>
        <color rgb="FFFF0000"/>
        <rFont val="Segoe UI Mono"/>
        <family val="3"/>
      </rPr>
      <t>A</t>
    </r>
  </si>
  <si>
    <t>CALL ICSPROG/LICENSE</t>
  </si>
  <si>
    <t>MISC</t>
  </si>
  <si>
    <t>Verify that all subsystem are Active  see Tab</t>
  </si>
  <si>
    <t>Verify all tcp servers and host servers are active that should be</t>
  </si>
  <si>
    <t xml:space="preserve">Host Table Changes for Proda </t>
  </si>
  <si>
    <t xml:space="preserve">PA   </t>
  </si>
  <si>
    <t>F15 Postion To</t>
  </si>
  <si>
    <t>RMVTCPHTE INTNETADR('10.7.1.231')</t>
  </si>
  <si>
    <t>PA</t>
  </si>
  <si>
    <t>RMVTCPHTE INTNETADR('10.7.1.161')</t>
  </si>
  <si>
    <t>ADDTCPHTE INTNETADR('10.7.1.231') HOSTNAME((DEVA) (DEVA.APPN.SNA.IBM.COM) (WWDEVA.APPN.SNA.IBM.COM) (MXLDEVA) (VDEVA) (XMXLDEVA))</t>
  </si>
  <si>
    <t>ADDTCPHTE INTNETADR('10.7.1.161') HOSTNAME(BRMSDEVA)</t>
  </si>
  <si>
    <t xml:space="preserve">Host Table Changes for Prode  </t>
  </si>
  <si>
    <t xml:space="preserve">PE  </t>
  </si>
  <si>
    <t>PE</t>
  </si>
  <si>
    <t>MLENGBR2/SYSMGMT</t>
  </si>
  <si>
    <t>Host Table Changes for DEVAT</t>
  </si>
  <si>
    <t xml:space="preserve">DEVAT </t>
  </si>
  <si>
    <t>F15 Position To</t>
  </si>
  <si>
    <t>ADDTCPHTE INTNETADR('10.7.1.231') HOSTNAME((DEVA) (DEVA.APPN.SNA.IBM.COM) (MXLDEVA))</t>
  </si>
  <si>
    <t>Host Table Changes for DEVAC</t>
  </si>
  <si>
    <t xml:space="preserve">Host Table Changes for PRODDSS  </t>
  </si>
  <si>
    <t xml:space="preserve">DSST  </t>
  </si>
  <si>
    <t>ADDTCPHTE INTNETADR('10.7.1.231') HOSTNAME((DEVA) (DEVA.APPN.SNA.IBM.COM) (WWDEVA.APPN.SNA.IBM.COM) (DEVAL))</t>
  </si>
  <si>
    <t xml:space="preserve">Host Table Changes for PRODDSSC  </t>
  </si>
  <si>
    <t xml:space="preserve">DSSC  </t>
  </si>
  <si>
    <t xml:space="preserve">KEY -  Fastfax Using the same Environment # &amp; DNS </t>
  </si>
  <si>
    <t>ENDTCPSVR *NETSVR</t>
  </si>
  <si>
    <t xml:space="preserve">DEVAC </t>
  </si>
  <si>
    <t>SUBSYSTEM NEEDS TO BE DOWN:    FASTFAXLC/FASTFAXL</t>
  </si>
  <si>
    <t>IBMi Net Server &amp; ODBC should be ACTIVE</t>
  </si>
  <si>
    <t xml:space="preserve">STRHOSTSVR STRTCPSVR </t>
  </si>
  <si>
    <t>CHGCURLIB FASTFAXL</t>
  </si>
  <si>
    <t>DSPDTAARA FASTFAXL/DTAPTF</t>
  </si>
  <si>
    <t>STRSQL--, increase the “900000098” by one digit (900000099, 900000100, etc) until the code gets applied</t>
  </si>
  <si>
    <t>LPAR2</t>
  </si>
  <si>
    <t>INSERT INTO fastfaxl/FFXLDV (FDVPID, FDVPNB, FDVTP1, FDVTP2, FDVSEQ,
FDVFNM, FDVFVL, FDVFF1, FDVFF2, FDVFF3) VALUES(0, 0, 900000001,
900000098, 1, 'I2_8201.QSP',
'011ed171f8f2f0f1d0c4d8d337579715b39f0737579715131f0737509417', '',
'', '')</t>
  </si>
  <si>
    <t>IBMi #7858201  partition 2</t>
  </si>
  <si>
    <t>UPDATE FASTFAXL/FFXLDE SET FLEASN=’DEVAN’ where FLEEID = 1</t>
  </si>
  <si>
    <t>TO UPDATE THE NETSERVER NAME -  Subsystem will NOT stay up if Wrong</t>
  </si>
  <si>
    <t>STRTCPSVR *NETSVR</t>
  </si>
  <si>
    <t>ISSUE</t>
  </si>
  <si>
    <t xml:space="preserve">ODBC started on slave but not master:  reboot or go to server&gt; HKEY_CURRENT_USER&gt;SOFTWARE&gt;FASTFAX/Lan&gt;environments&gt;envid_001 change 'EnvDrive' to something else then refresh </t>
  </si>
  <si>
    <r>
      <t xml:space="preserve">               
</t>
    </r>
    <r>
      <rPr>
        <b/>
        <sz val="20"/>
        <color rgb="FFFF0000"/>
        <rFont val="Segoe UI Mono"/>
        <family val="3"/>
      </rPr>
      <t>FFXTOOLS option 87</t>
    </r>
    <r>
      <rPr>
        <sz val="20"/>
        <rFont val="Segoe UI Mono"/>
        <family val="3"/>
      </rPr>
      <t xml:space="preserve">
</t>
    </r>
  </si>
  <si>
    <r>
      <t xml:space="preserve">NetServer Name on iSeries                      
Can you go into  or </t>
    </r>
    <r>
      <rPr>
        <b/>
        <sz val="20"/>
        <color rgb="FFFF0000"/>
        <rFont val="Segoe UI Mono"/>
        <family val="3"/>
      </rPr>
      <t>FFXTOOLS option 87</t>
    </r>
    <r>
      <rPr>
        <sz val="20"/>
        <rFont val="Segoe UI Mono"/>
        <family val="3"/>
      </rPr>
      <t xml:space="preserve"> &amp; verify the NetServer name  
Also make sure it’s all uppercase no lower case characters &amp; no spaces or type-o’s 
</t>
    </r>
  </si>
  <si>
    <r>
      <t xml:space="preserve">At a command line verify your security code by typing:  </t>
    </r>
    <r>
      <rPr>
        <b/>
        <sz val="18"/>
        <color rgb="FFFF0000"/>
        <rFont val="Segoe UI Mono"/>
        <family val="3"/>
      </rPr>
      <t xml:space="preserve">FASTFAXL/FFXSECURE  </t>
    </r>
  </si>
  <si>
    <r>
      <rPr>
        <b/>
        <sz val="20"/>
        <color rgb="FFFF0000"/>
        <rFont val="Segoe UI Mono"/>
        <family val="3"/>
      </rPr>
      <t xml:space="preserve"> STRFFX</t>
    </r>
    <r>
      <rPr>
        <sz val="20"/>
        <rFont val="Segoe UI Mono"/>
        <family val="3"/>
      </rPr>
      <t xml:space="preserve"> If the security code is valid you can start FastFax by typing</t>
    </r>
    <r>
      <rPr>
        <b/>
        <sz val="20"/>
        <color rgb="FFFF0000"/>
        <rFont val="Segoe UI Mono"/>
        <family val="3"/>
      </rPr>
      <t xml:space="preserve"> </t>
    </r>
    <r>
      <rPr>
        <sz val="20"/>
        <rFont val="Segoe UI Mono"/>
        <family val="3"/>
      </rPr>
      <t xml:space="preserve">  </t>
    </r>
  </si>
  <si>
    <r>
      <t xml:space="preserve">FastFax should go Active once the Subsystem is started to verify type </t>
    </r>
    <r>
      <rPr>
        <b/>
        <sz val="18"/>
        <color rgb="FFFF0000"/>
        <rFont val="Segoe UI Mono"/>
        <family val="3"/>
      </rPr>
      <t>WRKFAXJOB</t>
    </r>
    <r>
      <rPr>
        <sz val="18"/>
        <rFont val="Segoe UI Mono"/>
        <family val="3"/>
      </rPr>
      <t xml:space="preserve"> On the Outbound Message screen press </t>
    </r>
    <r>
      <rPr>
        <b/>
        <sz val="18"/>
        <color rgb="FFFF0000"/>
        <rFont val="Segoe UI Mono"/>
        <family val="3"/>
      </rPr>
      <t xml:space="preserve">F9=Status </t>
    </r>
  </si>
  <si>
    <t>Turn Over to TESTERS</t>
  </si>
  <si>
    <t>See Tab 1 Testers for list of Testers</t>
  </si>
  <si>
    <t>Once Testing has been Approved Start Level 3</t>
  </si>
  <si>
    <t>CAN GO AHEAD AND START LEVEL 3 - NO USERS WILL BE LOGGING ON</t>
  </si>
  <si>
    <t>Start level 3 on DEVA/Temple (Opt 13)  (Wail until IPL_PRCS completes) WRKACTJOB SBS(QCTL)</t>
  </si>
  <si>
    <t>Do a 'DO' on ETS51000  if 'T'erminated ONLY!   to start stats to Splunk</t>
  </si>
  <si>
    <r>
      <t xml:space="preserve">Robot Schedule:  display missed jobs    time frame:  06:30 </t>
    </r>
    <r>
      <rPr>
        <b/>
        <sz val="20"/>
        <rFont val="Segoe UI Mono"/>
        <family val="3"/>
      </rPr>
      <t xml:space="preserve">                            </t>
    </r>
    <r>
      <rPr>
        <sz val="20"/>
        <rFont val="Segoe UI Mono"/>
        <family val="3"/>
      </rPr>
      <t>date:</t>
    </r>
    <r>
      <rPr>
        <b/>
        <sz val="20"/>
        <rFont val="Segoe UI Mono"/>
        <family val="3"/>
      </rPr>
      <t xml:space="preserve"> 02/28/25 </t>
    </r>
  </si>
  <si>
    <t>Do a 'DO' on OPS90100    DSI</t>
  </si>
  <si>
    <t>Verify that performance is running</t>
  </si>
  <si>
    <t>Do a 'DO' on ETS50020 run Terminated jobs</t>
  </si>
  <si>
    <t>Do a 'DO' on ETS50001 Disable APPADMIN &amp; SYSMGMT</t>
  </si>
  <si>
    <t>DO' on Robot job ETS40080 to Reset Robot Host Node for GUI monitor</t>
  </si>
  <si>
    <t>DUSTIN</t>
  </si>
  <si>
    <t>make change before Monday/VS Team</t>
  </si>
  <si>
    <t>Robot Network GUI</t>
  </si>
  <si>
    <t xml:space="preserve">prode&gt;configure node&gt;  </t>
  </si>
  <si>
    <t>New Stuff</t>
  </si>
  <si>
    <t>Verify QNTC is connected otherwise run ETS90000</t>
  </si>
  <si>
    <t xml:space="preserve"> MKDIR DIR('/QNTC/WTDSTDSIAPP01')
 MKDIR DIR('/QNTC/vfiler-onbase01')
 MKDIR DIR('/QNTC/VSERVER-DATA01')</t>
  </si>
  <si>
    <t>FORMSPRT: Virtual Queue:  START MANUALLY: INVOICEPDF, INVOICERPRT, FAX</t>
  </si>
  <si>
    <t>SBS PROCURE &gt; ORA10300DN</t>
  </si>
  <si>
    <t>Check SMTP under QSYSWRK if needed:  STRMSF MSGOPT(*RESUME) NBRMSFJOB(6)</t>
  </si>
  <si>
    <t>GOLDENGATE</t>
  </si>
  <si>
    <t>STRSBS AMSCONFIG/GOLDENGATE</t>
  </si>
  <si>
    <t>START MANAGER &gt; ROBOT JOB 'ETS95010'</t>
  </si>
  <si>
    <t>Start All &gt; Robot Job 'ETS95030'</t>
  </si>
  <si>
    <t>QSNADS VIA EE</t>
  </si>
  <si>
    <t>WRKCFGSTS CFGTYPE(*CTL) CFGD(*CMN)</t>
  </si>
  <si>
    <t>ROBOT GUI  - NETWORK</t>
  </si>
  <si>
    <t>RBTNETNODE/RBNENDNODE</t>
  </si>
  <si>
    <t xml:space="preserve">RSLWL  </t>
  </si>
  <si>
    <t>ROBOT NETWORK&gt;nodeConfig.xml
&gt;&gt;&gt;search on Primary Shift/F4</t>
  </si>
  <si>
    <t xml:space="preserve">RBTNETNODE/RBNCFGNODE HOSTIP('10.7.1.234') AHOSTIP(*NONE) </t>
  </si>
  <si>
    <t>RBTNETNODE/RBNSTRNODE</t>
  </si>
  <si>
    <t>IF MULTIPLE NODES IN GREY: GO TO PRODE</t>
  </si>
  <si>
    <t xml:space="preserve">RBTNETLIB/RBNDLTNODE F4 and input DEVA </t>
  </si>
  <si>
    <t>DONE</t>
  </si>
  <si>
    <t>TOOLKIT - WRKCLU</t>
  </si>
  <si>
    <t>Things:</t>
  </si>
  <si>
    <t>WRKCLU OPTION 10</t>
  </si>
  <si>
    <t>Toolkit is for flashing</t>
  </si>
  <si>
    <t>WRKCLU OPTION 9</t>
  </si>
  <si>
    <t>POWERHA/Role Swaps</t>
  </si>
  <si>
    <t>WRKCLU OPTION 8</t>
  </si>
  <si>
    <t>*SYSBAS/Cluster</t>
  </si>
  <si>
    <t>DSPSYSVAL SYSVAL(QABNORMSW)</t>
  </si>
  <si>
    <t>DSPFMWSTS</t>
  </si>
  <si>
    <t xml:space="preserve">WRKLICINF </t>
  </si>
  <si>
    <t>go licpgm option 10</t>
  </si>
  <si>
    <t>CALL QSFWINV</t>
  </si>
  <si>
    <t>DSPSFWRSC</t>
  </si>
  <si>
    <t>turnover tab</t>
  </si>
  <si>
    <t>Dummy turnover form--- COMPLETE</t>
  </si>
  <si>
    <t>ETS51000</t>
  </si>
  <si>
    <t>clean folder on all lpars prior to swaps</t>
  </si>
  <si>
    <t>WRKFLR</t>
  </si>
  <si>
    <t>STATDOC   WRKDOC  the pgm deletes these at the end of the cl.</t>
  </si>
  <si>
    <t>SHOULD BE EMTPY…IT IS ON DEVAha</t>
  </si>
  <si>
    <t>Active</t>
  </si>
  <si>
    <t>Subsystem</t>
  </si>
  <si>
    <t>Library</t>
  </si>
  <si>
    <t>Jobs</t>
  </si>
  <si>
    <t>BACKGROUND</t>
  </si>
  <si>
    <t>QUSRSYS</t>
  </si>
  <si>
    <t>BATCHWW</t>
  </si>
  <si>
    <t>AMSCONFIG</t>
  </si>
  <si>
    <t>DCL511SBS</t>
  </si>
  <si>
    <t>DCL511DTAC</t>
  </si>
  <si>
    <t>DCSBS</t>
  </si>
  <si>
    <t>FASTFAXL</t>
  </si>
  <si>
    <t>FASTFAXLC</t>
  </si>
  <si>
    <t>FASTPATH</t>
  </si>
  <si>
    <t>FINANCE</t>
  </si>
  <si>
    <t>ICSFMST</t>
  </si>
  <si>
    <t>ICSSYSC</t>
  </si>
  <si>
    <t>OPSBACKUP</t>
  </si>
  <si>
    <t>ORDERPOST</t>
  </si>
  <si>
    <t>PROCURE</t>
  </si>
  <si>
    <t>QBATCH</t>
  </si>
  <si>
    <t>QSYS</t>
  </si>
  <si>
    <t>QCMN</t>
  </si>
  <si>
    <t>QCTL</t>
  </si>
  <si>
    <t>QHTTPSVR</t>
  </si>
  <si>
    <t>QINTER</t>
  </si>
  <si>
    <t>QMFT</t>
  </si>
  <si>
    <t>QMQMMFT</t>
  </si>
  <si>
    <t>QMQM</t>
  </si>
  <si>
    <t>QPGMR</t>
  </si>
  <si>
    <t>QSERVER</t>
  </si>
  <si>
    <t>QSNADS</t>
  </si>
  <si>
    <t>QSPL</t>
  </si>
  <si>
    <t>QUSRWRK</t>
  </si>
  <si>
    <t>Q1ABRMNET</t>
  </si>
  <si>
    <t>QBRM</t>
  </si>
  <si>
    <t>RBTSLEEPER</t>
  </si>
  <si>
    <t>RBTSYSLIB</t>
  </si>
  <si>
    <t>SLEEPER</t>
  </si>
  <si>
    <t>QGPL</t>
  </si>
  <si>
    <t>SPYCS</t>
  </si>
  <si>
    <t>SPYVIEWC</t>
  </si>
  <si>
    <t>SPYGLASS</t>
  </si>
  <si>
    <t>TSERVER</t>
  </si>
  <si>
    <t>Spreadsheet</t>
  </si>
  <si>
    <t>Abstract</t>
  </si>
  <si>
    <t>sysbas</t>
  </si>
  <si>
    <t>perm</t>
  </si>
  <si>
    <t>Spyview</t>
  </si>
  <si>
    <t>ready</t>
  </si>
  <si>
    <t>Vertex</t>
  </si>
  <si>
    <t>no keys</t>
  </si>
  <si>
    <t>Esend</t>
  </si>
  <si>
    <t>Turnover</t>
  </si>
  <si>
    <t>ready/rename</t>
  </si>
  <si>
    <t>PcMiler</t>
  </si>
  <si>
    <t>Robot CONSOLE</t>
  </si>
  <si>
    <t>deva-T&amp;C</t>
  </si>
  <si>
    <t>C</t>
  </si>
  <si>
    <t>DSI</t>
  </si>
  <si>
    <t>90 days</t>
  </si>
  <si>
    <t>QMGTOOLS</t>
  </si>
  <si>
    <t>Robot Alert</t>
  </si>
  <si>
    <t>JDE</t>
  </si>
  <si>
    <t>RDI</t>
  </si>
  <si>
    <t>Robot Schedule</t>
  </si>
  <si>
    <t>IASP</t>
  </si>
  <si>
    <t>Fastfax</t>
  </si>
  <si>
    <t>MQ FTE</t>
  </si>
  <si>
    <t>Robot Network</t>
  </si>
  <si>
    <t>Taatools</t>
  </si>
  <si>
    <t>FormsPrint</t>
  </si>
  <si>
    <t>15 days</t>
  </si>
  <si>
    <t>ABSTRACT</t>
  </si>
  <si>
    <t>ADDLIBLE ABSTRACT</t>
  </si>
  <si>
    <t>APPERM</t>
  </si>
  <si>
    <t>*FJ96D48951J5H2*Q91T3QV8T6AQ0BE4QLAPKNCV298V3427C+4TWV4K*J*1TI+PPWMTZM6MBM1</t>
  </si>
  <si>
    <t>ESEND</t>
  </si>
  <si>
    <t>ADDLIBLE ESEND</t>
  </si>
  <si>
    <t>ESPERM</t>
  </si>
  <si>
    <t>KGLF513084JJLHF8CSKWPCU+C0EC2YIBCZ5HA993A+*U8573N259Q151VBFT7SK44M6*MITPLIT</t>
  </si>
  <si>
    <t>DBU</t>
  </si>
  <si>
    <t>ADDLIBLE DBU11</t>
  </si>
  <si>
    <t>DBUSEC</t>
  </si>
  <si>
    <t>7858201 DBU      11.0 3ABEF1 9E128C D4E801  5102_________enter   (partition 2)</t>
  </si>
  <si>
    <t>TAATOOLS</t>
  </si>
  <si>
    <t>ADDLIBLE TAATOOL</t>
  </si>
  <si>
    <t>CHGTAAKEY</t>
  </si>
  <si>
    <t>CHGTAAKEY KEY(547399CEB851D098B4F2FA5289B362E96AF00F747255293B5124D7265286)</t>
  </si>
  <si>
    <t>WAIT UNTIL FRIDAY</t>
  </si>
  <si>
    <t>Formsprint</t>
  </si>
  <si>
    <t>ADDLIBLE ICSPROG</t>
  </si>
  <si>
    <t>5=Temporary 15 day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</si>
</sst>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"/>
    <numFmt numFmtId="165" formatCode="_(* #,##0_);_(* \(#,##0\);_(* &quot;-&quot;??_);_(@_)"/>
    <numFmt numFmtId="166" formatCode="[$-409]h:mm\ AM/PM;@"/>
  </numFmts>
  <fonts count="57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name val="Arial"/>
      <family val="2"/>
    </font>
    <font>
      <sz val="11"/>
      <color theme="1"/>
      <name val="Trebuchet MS"/>
      <family val="2"/>
    </font>
    <font>
      <u/>
      <sz val="10"/>
      <color theme="10"/>
      <name val="Trebuchet MS"/>
      <family val="2"/>
    </font>
    <font>
      <sz val="9"/>
      <color theme="1"/>
      <name val="Trebuchet MS"/>
      <family val="2"/>
    </font>
    <font>
      <b/>
      <sz val="11"/>
      <color rgb="FF000000"/>
      <name val="Trebuchet MS"/>
      <family val="2"/>
    </font>
    <font>
      <b/>
      <sz val="11"/>
      <color rgb="FFFF0000"/>
      <name val="Trebuchet MS"/>
      <family val="2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1"/>
      <color rgb="FF44546A"/>
      <name val="Trebuchet MS"/>
      <family val="2"/>
    </font>
    <font>
      <b/>
      <u/>
      <sz val="10"/>
      <color theme="1"/>
      <name val="Trebuchet MS"/>
      <family val="2"/>
    </font>
    <font>
      <sz val="16"/>
      <color theme="1"/>
      <name val="Segoe UI"/>
      <family val="2"/>
    </font>
    <font>
      <sz val="16"/>
      <name val="Segoe UI Mono"/>
      <family val="3"/>
    </font>
    <font>
      <b/>
      <sz val="16"/>
      <name val="Segoe UI Mono"/>
      <family val="3"/>
    </font>
    <font>
      <b/>
      <sz val="16"/>
      <color theme="1"/>
      <name val="Segoe UI"/>
      <family val="2"/>
    </font>
    <font>
      <sz val="20"/>
      <name val="Segoe UI"/>
      <family val="2"/>
    </font>
    <font>
      <sz val="10"/>
      <color rgb="FFFF0000"/>
      <name val="Trebuchet MS"/>
      <family val="2"/>
    </font>
    <font>
      <b/>
      <sz val="10"/>
      <color rgb="FFFF0000"/>
      <name val="Trebuchet MS"/>
      <family val="2"/>
    </font>
    <font>
      <sz val="10"/>
      <color theme="1"/>
      <name val="Verdana"/>
      <family val="2"/>
    </font>
    <font>
      <sz val="10"/>
      <color rgb="FF000000"/>
      <name val="Tahoma"/>
      <family val="2"/>
    </font>
    <font>
      <sz val="20"/>
      <name val="Segoe UI Mono"/>
      <family val="3"/>
    </font>
    <font>
      <b/>
      <u/>
      <sz val="20"/>
      <name val="Segoe UI Mono"/>
      <family val="3"/>
    </font>
    <font>
      <b/>
      <u/>
      <sz val="20"/>
      <color rgb="FFFF0000"/>
      <name val="Segoe UI Mono"/>
      <family val="3"/>
    </font>
    <font>
      <b/>
      <sz val="20"/>
      <name val="Segoe UI Mono"/>
      <family val="3"/>
    </font>
    <font>
      <sz val="20"/>
      <color theme="1"/>
      <name val="Segoe UI Mono"/>
      <family val="3"/>
    </font>
    <font>
      <b/>
      <sz val="20"/>
      <color rgb="FFFF0000"/>
      <name val="Segoe UI Mono"/>
      <family val="3"/>
    </font>
    <font>
      <sz val="20"/>
      <color rgb="FFFF0000"/>
      <name val="Segoe UI Mono"/>
      <family val="3"/>
    </font>
    <font>
      <b/>
      <sz val="20"/>
      <color indexed="10"/>
      <name val="Segoe UI Mono"/>
      <family val="3"/>
    </font>
    <font>
      <u/>
      <sz val="36"/>
      <color theme="10"/>
      <name val="Segoe UI Mono"/>
      <family val="3"/>
    </font>
    <font>
      <b/>
      <i/>
      <sz val="20"/>
      <color rgb="FFFF0000"/>
      <name val="Segoe UI Mono"/>
      <family val="3"/>
    </font>
    <font>
      <b/>
      <sz val="28"/>
      <color rgb="FFFF0000"/>
      <name val="Segoe UI Mono"/>
      <family val="3"/>
    </font>
    <font>
      <b/>
      <sz val="20"/>
      <color theme="1"/>
      <name val="Segoe UI Mono"/>
      <family val="3"/>
    </font>
    <font>
      <u/>
      <sz val="28"/>
      <color theme="10"/>
      <name val="Segoe UI Mono"/>
      <family val="3"/>
    </font>
    <font>
      <u/>
      <sz val="20"/>
      <color theme="1"/>
      <name val="Segoe UI Mono"/>
      <family val="3"/>
    </font>
    <font>
      <b/>
      <sz val="20"/>
      <color rgb="FF333333"/>
      <name val="Segoe UI Mono"/>
      <family val="3"/>
    </font>
    <font>
      <b/>
      <sz val="20"/>
      <color rgb="FF000000"/>
      <name val="Segoe UI Mono"/>
      <family val="3"/>
    </font>
    <font>
      <b/>
      <i/>
      <sz val="20"/>
      <name val="Segoe UI Mono"/>
      <family val="3"/>
    </font>
    <font>
      <b/>
      <sz val="22"/>
      <color rgb="FFFF0000"/>
      <name val="Segoe UI Mono"/>
      <family val="3"/>
    </font>
    <font>
      <sz val="18"/>
      <color theme="1"/>
      <name val="Segoe UI Mono"/>
      <family val="3"/>
    </font>
    <font>
      <sz val="22"/>
      <name val="Segoe UI Mono"/>
      <family val="3"/>
    </font>
    <font>
      <b/>
      <sz val="20"/>
      <color rgb="FF000080"/>
      <name val="Segoe UI Mono"/>
      <family val="3"/>
    </font>
    <font>
      <sz val="18"/>
      <name val="Segoe UI Mono"/>
      <family val="3"/>
    </font>
    <font>
      <b/>
      <sz val="18"/>
      <color rgb="FFFF0000"/>
      <name val="Segoe UI Mono"/>
      <family val="3"/>
    </font>
    <font>
      <b/>
      <sz val="20"/>
      <color indexed="8"/>
      <name val="Segoe UI Mono"/>
      <family val="3"/>
    </font>
    <font>
      <sz val="16"/>
      <color theme="1"/>
      <name val="Segoe UI Mono"/>
      <family val="3"/>
    </font>
    <font>
      <b/>
      <sz val="16"/>
      <color theme="1"/>
      <name val="Segoe UI Mono"/>
      <family val="3"/>
    </font>
    <font>
      <sz val="20"/>
      <color theme="1"/>
      <name val="Segoe UI"/>
      <family val="2"/>
    </font>
    <font>
      <b/>
      <sz val="20"/>
      <color rgb="FFFF0000"/>
      <name val="Segoe UI"/>
      <family val="2"/>
    </font>
    <font>
      <sz val="26"/>
      <color theme="1"/>
      <name val="Segoe UI Mono"/>
      <family val="3"/>
    </font>
    <font>
      <sz val="26"/>
      <name val="Segoe UI Mono"/>
      <family val="3"/>
    </font>
    <font>
      <b/>
      <i/>
      <u/>
      <sz val="26"/>
      <name val="Segoe UI Mono"/>
      <family val="3"/>
    </font>
    <font>
      <b/>
      <sz val="26"/>
      <name val="Segoe UI Mono"/>
      <family val="3"/>
    </font>
    <font>
      <b/>
      <sz val="26"/>
      <color theme="1"/>
      <name val="Segoe UI Mono"/>
      <family val="3"/>
    </font>
    <font>
      <sz val="28"/>
      <name val="Segoe UI Mono"/>
      <family val="3"/>
    </font>
    <font>
      <sz val="48"/>
      <color rgb="FFFF0000"/>
      <name val="Segoe UI Mono"/>
      <family val="3"/>
    </font>
    <font>
      <sz val="22"/>
      <color rgb="FFFF0000"/>
      <name val="Segoe UI Mono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 applyNumberFormat="0" applyFill="0" applyBorder="0" applyAlignment="0" applyProtection="0"/>
  </cellStyleXfs>
  <cellXfs count="291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4"/>
    </xf>
    <xf numFmtId="0" fontId="11" fillId="0" borderId="0" xfId="0" applyFont="1"/>
    <xf numFmtId="0" fontId="12" fillId="2" borderId="1" xfId="0" applyFont="1" applyFill="1" applyBorder="1"/>
    <xf numFmtId="0" fontId="13" fillId="2" borderId="5" xfId="4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3" fillId="2" borderId="1" xfId="0" applyFont="1" applyFill="1" applyBorder="1"/>
    <xf numFmtId="166" fontId="12" fillId="4" borderId="1" xfId="0" applyNumberFormat="1" applyFont="1" applyFill="1" applyBorder="1"/>
    <xf numFmtId="0" fontId="12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wrapText="1"/>
    </xf>
    <xf numFmtId="0" fontId="12" fillId="4" borderId="1" xfId="0" applyFont="1" applyFill="1" applyBorder="1"/>
    <xf numFmtId="0" fontId="0" fillId="8" borderId="0" xfId="0" applyFill="1"/>
    <xf numFmtId="0" fontId="0" fillId="2" borderId="0" xfId="0" applyFill="1"/>
    <xf numFmtId="0" fontId="17" fillId="0" borderId="0" xfId="0" applyFont="1"/>
    <xf numFmtId="0" fontId="17" fillId="11" borderId="0" xfId="0" applyFont="1" applyFill="1"/>
    <xf numFmtId="0" fontId="18" fillId="2" borderId="0" xfId="0" applyFont="1" applyFill="1"/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/>
    <xf numFmtId="166" fontId="21" fillId="4" borderId="2" xfId="4" applyNumberFormat="1" applyFont="1" applyFill="1" applyBorder="1" applyAlignment="1">
      <alignment horizontal="center"/>
    </xf>
    <xf numFmtId="18" fontId="21" fillId="4" borderId="1" xfId="4" applyNumberFormat="1" applyFont="1" applyFill="1" applyBorder="1" applyAlignment="1">
      <alignment horizontal="center"/>
    </xf>
    <xf numFmtId="0" fontId="21" fillId="4" borderId="1" xfId="4" applyFont="1" applyFill="1" applyBorder="1" applyAlignment="1">
      <alignment horizontal="center"/>
    </xf>
    <xf numFmtId="165" fontId="21" fillId="4" borderId="1" xfId="1" applyNumberFormat="1" applyFont="1" applyFill="1" applyBorder="1" applyAlignment="1">
      <alignment horizontal="center"/>
    </xf>
    <xf numFmtId="0" fontId="22" fillId="4" borderId="1" xfId="4" applyFont="1" applyFill="1" applyBorder="1" applyAlignment="1">
      <alignment horizontal="center" wrapText="1"/>
    </xf>
    <xf numFmtId="0" fontId="24" fillId="4" borderId="1" xfId="4" applyFont="1" applyFill="1" applyBorder="1" applyAlignment="1">
      <alignment horizontal="center"/>
    </xf>
    <xf numFmtId="1" fontId="24" fillId="4" borderId="1" xfId="4" applyNumberFormat="1" applyFont="1" applyFill="1" applyBorder="1" applyAlignment="1">
      <alignment horizontal="center"/>
    </xf>
    <xf numFmtId="0" fontId="21" fillId="4" borderId="1" xfId="4" applyFont="1" applyFill="1" applyBorder="1" applyAlignment="1">
      <alignment horizontal="center" wrapText="1"/>
    </xf>
    <xf numFmtId="0" fontId="21" fillId="2" borderId="0" xfId="4" applyFont="1" applyFill="1"/>
    <xf numFmtId="0" fontId="21" fillId="2" borderId="1" xfId="4" applyFont="1" applyFill="1" applyBorder="1"/>
    <xf numFmtId="0" fontId="25" fillId="2" borderId="0" xfId="0" applyFont="1" applyFill="1"/>
    <xf numFmtId="166" fontId="21" fillId="2" borderId="2" xfId="4" applyNumberFormat="1" applyFont="1" applyFill="1" applyBorder="1" applyAlignment="1">
      <alignment horizontal="center"/>
    </xf>
    <xf numFmtId="18" fontId="21" fillId="2" borderId="1" xfId="4" applyNumberFormat="1" applyFont="1" applyFill="1" applyBorder="1" applyAlignment="1">
      <alignment horizontal="center"/>
    </xf>
    <xf numFmtId="0" fontId="21" fillId="2" borderId="1" xfId="4" applyFont="1" applyFill="1" applyBorder="1" applyAlignment="1">
      <alignment horizontal="center"/>
    </xf>
    <xf numFmtId="165" fontId="21" fillId="2" borderId="1" xfId="1" applyNumberFormat="1" applyFont="1" applyFill="1" applyBorder="1" applyAlignment="1">
      <alignment horizontal="center"/>
    </xf>
    <xf numFmtId="0" fontId="21" fillId="2" borderId="1" xfId="4" applyFont="1" applyFill="1" applyBorder="1" applyAlignment="1">
      <alignment horizontal="left" wrapText="1"/>
    </xf>
    <xf numFmtId="0" fontId="24" fillId="2" borderId="1" xfId="4" applyFont="1" applyFill="1" applyBorder="1" applyAlignment="1">
      <alignment horizontal="center"/>
    </xf>
    <xf numFmtId="0" fontId="21" fillId="2" borderId="1" xfId="4" applyFont="1" applyFill="1" applyBorder="1" applyAlignment="1">
      <alignment horizontal="center" wrapText="1"/>
    </xf>
    <xf numFmtId="0" fontId="21" fillId="2" borderId="1" xfId="4" applyFont="1" applyFill="1" applyBorder="1" applyAlignment="1">
      <alignment wrapText="1"/>
    </xf>
    <xf numFmtId="0" fontId="24" fillId="9" borderId="1" xfId="4" applyFont="1" applyFill="1" applyBorder="1" applyAlignment="1">
      <alignment horizontal="center" wrapText="1"/>
    </xf>
    <xf numFmtId="166" fontId="21" fillId="2" borderId="2" xfId="4" applyNumberFormat="1" applyFont="1" applyFill="1" applyBorder="1" applyAlignment="1">
      <alignment horizontal="right"/>
    </xf>
    <xf numFmtId="18" fontId="26" fillId="2" borderId="1" xfId="4" applyNumberFormat="1" applyFont="1" applyFill="1" applyBorder="1" applyAlignment="1">
      <alignment horizontal="center"/>
    </xf>
    <xf numFmtId="0" fontId="24" fillId="2" borderId="1" xfId="4" applyFont="1" applyFill="1" applyBorder="1" applyAlignment="1">
      <alignment horizontal="center" wrapText="1"/>
    </xf>
    <xf numFmtId="0" fontId="8" fillId="0" borderId="0" xfId="0" applyFont="1" applyAlignment="1">
      <alignment vertical="center"/>
    </xf>
    <xf numFmtId="166" fontId="28" fillId="2" borderId="2" xfId="4" applyNumberFormat="1" applyFont="1" applyFill="1" applyBorder="1" applyAlignment="1">
      <alignment horizontal="left"/>
    </xf>
    <xf numFmtId="14" fontId="28" fillId="2" borderId="1" xfId="4" applyNumberFormat="1" applyFont="1" applyFill="1" applyBorder="1" applyAlignment="1">
      <alignment horizontal="center"/>
    </xf>
    <xf numFmtId="0" fontId="28" fillId="2" borderId="1" xfId="4" applyFont="1" applyFill="1" applyBorder="1" applyAlignment="1">
      <alignment horizontal="center"/>
    </xf>
    <xf numFmtId="165" fontId="28" fillId="2" borderId="1" xfId="1" applyNumberFormat="1" applyFont="1" applyFill="1" applyBorder="1" applyAlignment="1">
      <alignment horizontal="center"/>
    </xf>
    <xf numFmtId="164" fontId="28" fillId="2" borderId="1" xfId="4" applyNumberFormat="1" applyFont="1" applyFill="1" applyBorder="1" applyAlignment="1">
      <alignment horizontal="center"/>
    </xf>
    <xf numFmtId="166" fontId="24" fillId="2" borderId="2" xfId="4" applyNumberFormat="1" applyFont="1" applyFill="1" applyBorder="1" applyAlignment="1">
      <alignment horizontal="center"/>
    </xf>
    <xf numFmtId="18" fontId="24" fillId="2" borderId="1" xfId="4" applyNumberFormat="1" applyFont="1" applyFill="1" applyBorder="1" applyAlignment="1">
      <alignment horizontal="center"/>
    </xf>
    <xf numFmtId="165" fontId="24" fillId="2" borderId="1" xfId="1" applyNumberFormat="1" applyFont="1" applyFill="1" applyBorder="1" applyAlignment="1">
      <alignment horizontal="center"/>
    </xf>
    <xf numFmtId="18" fontId="21" fillId="2" borderId="1" xfId="4" applyNumberFormat="1" applyFont="1" applyFill="1" applyBorder="1" applyAlignment="1">
      <alignment horizontal="center" vertical="center"/>
    </xf>
    <xf numFmtId="0" fontId="23" fillId="2" borderId="1" xfId="4" applyFont="1" applyFill="1" applyBorder="1" applyAlignment="1">
      <alignment horizontal="left" wrapText="1"/>
    </xf>
    <xf numFmtId="166" fontId="21" fillId="2" borderId="2" xfId="5" applyNumberFormat="1" applyFont="1" applyFill="1" applyBorder="1"/>
    <xf numFmtId="0" fontId="21" fillId="2" borderId="1" xfId="5" applyFont="1" applyFill="1" applyBorder="1" applyAlignment="1">
      <alignment horizontal="center"/>
    </xf>
    <xf numFmtId="166" fontId="25" fillId="2" borderId="0" xfId="0" applyNumberFormat="1" applyFont="1" applyFill="1"/>
    <xf numFmtId="0" fontId="21" fillId="2" borderId="1" xfId="4" applyFont="1" applyFill="1" applyBorder="1" applyAlignment="1">
      <alignment horizontal="left" vertical="center" wrapText="1"/>
    </xf>
    <xf numFmtId="0" fontId="29" fillId="2" borderId="1" xfId="6" applyFont="1" applyFill="1" applyBorder="1" applyAlignment="1">
      <alignment horizontal="left" wrapText="1"/>
    </xf>
    <xf numFmtId="0" fontId="26" fillId="2" borderId="1" xfId="4" applyFont="1" applyFill="1" applyBorder="1" applyAlignment="1">
      <alignment horizontal="center" wrapText="1"/>
    </xf>
    <xf numFmtId="0" fontId="21" fillId="2" borderId="1" xfId="4" applyFont="1" applyFill="1" applyBorder="1" applyAlignment="1">
      <alignment horizontal="center" vertical="center"/>
    </xf>
    <xf numFmtId="0" fontId="24" fillId="2" borderId="1" xfId="4" applyFont="1" applyFill="1" applyBorder="1" applyAlignment="1">
      <alignment horizontal="center" vertical="center"/>
    </xf>
    <xf numFmtId="1" fontId="24" fillId="2" borderId="1" xfId="4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wrapText="1"/>
    </xf>
    <xf numFmtId="0" fontId="30" fillId="2" borderId="1" xfId="4" applyFont="1" applyFill="1" applyBorder="1" applyAlignment="1">
      <alignment horizontal="center" wrapText="1"/>
    </xf>
    <xf numFmtId="166" fontId="21" fillId="4" borderId="2" xfId="4" applyNumberFormat="1" applyFont="1" applyFill="1" applyBorder="1" applyAlignment="1">
      <alignment horizontal="right"/>
    </xf>
    <xf numFmtId="0" fontId="21" fillId="4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wrapText="1"/>
    </xf>
    <xf numFmtId="0" fontId="27" fillId="2" borderId="1" xfId="4" applyFont="1" applyFill="1" applyBorder="1" applyAlignment="1">
      <alignment horizontal="center" wrapText="1"/>
    </xf>
    <xf numFmtId="166" fontId="21" fillId="9" borderId="2" xfId="4" applyNumberFormat="1" applyFont="1" applyFill="1" applyBorder="1" applyAlignment="1">
      <alignment horizontal="center"/>
    </xf>
    <xf numFmtId="18" fontId="21" fillId="9" borderId="1" xfId="4" applyNumberFormat="1" applyFont="1" applyFill="1" applyBorder="1" applyAlignment="1">
      <alignment horizontal="center"/>
    </xf>
    <xf numFmtId="0" fontId="21" fillId="9" borderId="1" xfId="4" applyFont="1" applyFill="1" applyBorder="1" applyAlignment="1">
      <alignment horizontal="center"/>
    </xf>
    <xf numFmtId="165" fontId="21" fillId="9" borderId="1" xfId="1" applyNumberFormat="1" applyFont="1" applyFill="1" applyBorder="1" applyAlignment="1">
      <alignment horizontal="center"/>
    </xf>
    <xf numFmtId="0" fontId="24" fillId="9" borderId="1" xfId="4" applyFont="1" applyFill="1" applyBorder="1" applyAlignment="1">
      <alignment horizontal="center"/>
    </xf>
    <xf numFmtId="1" fontId="24" fillId="9" borderId="1" xfId="4" applyNumberFormat="1" applyFont="1" applyFill="1" applyBorder="1" applyAlignment="1">
      <alignment horizontal="center"/>
    </xf>
    <xf numFmtId="0" fontId="21" fillId="9" borderId="1" xfId="4" applyFont="1" applyFill="1" applyBorder="1" applyAlignment="1">
      <alignment horizontal="center" wrapText="1"/>
    </xf>
    <xf numFmtId="166" fontId="21" fillId="9" borderId="2" xfId="4" applyNumberFormat="1" applyFont="1" applyFill="1" applyBorder="1" applyAlignment="1">
      <alignment horizontal="right"/>
    </xf>
    <xf numFmtId="0" fontId="24" fillId="9" borderId="1" xfId="4" applyFont="1" applyFill="1" applyBorder="1" applyAlignment="1">
      <alignment horizontal="left" wrapText="1"/>
    </xf>
    <xf numFmtId="0" fontId="24" fillId="2" borderId="1" xfId="4" applyFont="1" applyFill="1" applyBorder="1" applyAlignment="1">
      <alignment horizontal="center" vertical="center" wrapText="1"/>
    </xf>
    <xf numFmtId="166" fontId="21" fillId="8" borderId="2" xfId="4" applyNumberFormat="1" applyFont="1" applyFill="1" applyBorder="1" applyAlignment="1">
      <alignment horizontal="right"/>
    </xf>
    <xf numFmtId="18" fontId="21" fillId="8" borderId="1" xfId="4" applyNumberFormat="1" applyFont="1" applyFill="1" applyBorder="1" applyAlignment="1">
      <alignment horizontal="center"/>
    </xf>
    <xf numFmtId="0" fontId="21" fillId="8" borderId="1" xfId="4" applyFont="1" applyFill="1" applyBorder="1" applyAlignment="1">
      <alignment horizontal="center"/>
    </xf>
    <xf numFmtId="165" fontId="21" fillId="8" borderId="1" xfId="1" applyNumberFormat="1" applyFont="1" applyFill="1" applyBorder="1" applyAlignment="1">
      <alignment horizontal="center"/>
    </xf>
    <xf numFmtId="0" fontId="21" fillId="8" borderId="1" xfId="4" applyFont="1" applyFill="1" applyBorder="1" applyAlignment="1">
      <alignment wrapText="1"/>
    </xf>
    <xf numFmtId="0" fontId="24" fillId="8" borderId="1" xfId="4" applyFont="1" applyFill="1" applyBorder="1" applyAlignment="1">
      <alignment horizontal="center"/>
    </xf>
    <xf numFmtId="0" fontId="24" fillId="8" borderId="1" xfId="4" applyFont="1" applyFill="1" applyBorder="1" applyAlignment="1">
      <alignment horizontal="center" vertical="center" wrapText="1"/>
    </xf>
    <xf numFmtId="0" fontId="24" fillId="8" borderId="1" xfId="4" applyFont="1" applyFill="1" applyBorder="1" applyAlignment="1">
      <alignment wrapText="1"/>
    </xf>
    <xf numFmtId="0" fontId="24" fillId="4" borderId="1" xfId="4" applyFont="1" applyFill="1" applyBorder="1" applyAlignment="1">
      <alignment wrapText="1"/>
    </xf>
    <xf numFmtId="0" fontId="31" fillId="0" borderId="0" xfId="0" applyFont="1" applyAlignment="1">
      <alignment horizontal="left" vertical="center" indent="4"/>
    </xf>
    <xf numFmtId="1" fontId="21" fillId="2" borderId="1" xfId="4" quotePrefix="1" applyNumberFormat="1" applyFont="1" applyFill="1" applyBorder="1" applyAlignment="1">
      <alignment horizontal="left" wrapText="1"/>
    </xf>
    <xf numFmtId="1" fontId="21" fillId="8" borderId="1" xfId="4" quotePrefix="1" applyNumberFormat="1" applyFont="1" applyFill="1" applyBorder="1" applyAlignment="1">
      <alignment horizontal="left" wrapText="1"/>
    </xf>
    <xf numFmtId="1" fontId="24" fillId="8" borderId="1" xfId="4" applyNumberFormat="1" applyFont="1" applyFill="1" applyBorder="1" applyAlignment="1">
      <alignment horizontal="center"/>
    </xf>
    <xf numFmtId="0" fontId="24" fillId="8" borderId="1" xfId="4" applyFont="1" applyFill="1" applyBorder="1" applyAlignment="1">
      <alignment horizontal="center" wrapText="1"/>
    </xf>
    <xf numFmtId="1" fontId="21" fillId="2" borderId="1" xfId="4" applyNumberFormat="1" applyFont="1" applyFill="1" applyBorder="1" applyAlignment="1">
      <alignment horizontal="left" wrapText="1"/>
    </xf>
    <xf numFmtId="0" fontId="13" fillId="2" borderId="1" xfId="4" applyFont="1" applyFill="1" applyBorder="1" applyAlignment="1">
      <alignment horizontal="left" wrapText="1"/>
    </xf>
    <xf numFmtId="0" fontId="32" fillId="2" borderId="1" xfId="0" applyFont="1" applyFill="1" applyBorder="1" applyAlignment="1">
      <alignment horizontal="center"/>
    </xf>
    <xf numFmtId="166" fontId="21" fillId="10" borderId="2" xfId="4" applyNumberFormat="1" applyFont="1" applyFill="1" applyBorder="1" applyAlignment="1">
      <alignment horizontal="right"/>
    </xf>
    <xf numFmtId="18" fontId="21" fillId="10" borderId="1" xfId="4" applyNumberFormat="1" applyFont="1" applyFill="1" applyBorder="1" applyAlignment="1">
      <alignment horizontal="center" wrapText="1"/>
    </xf>
    <xf numFmtId="0" fontId="21" fillId="10" borderId="1" xfId="4" applyFont="1" applyFill="1" applyBorder="1" applyAlignment="1">
      <alignment horizontal="center"/>
    </xf>
    <xf numFmtId="165" fontId="21" fillId="10" borderId="1" xfId="1" applyNumberFormat="1" applyFont="1" applyFill="1" applyBorder="1" applyAlignment="1">
      <alignment horizontal="center"/>
    </xf>
    <xf numFmtId="0" fontId="21" fillId="10" borderId="1" xfId="4" applyFont="1" applyFill="1" applyBorder="1" applyAlignment="1">
      <alignment horizontal="left" wrapText="1"/>
    </xf>
    <xf numFmtId="0" fontId="24" fillId="10" borderId="1" xfId="4" applyFont="1" applyFill="1" applyBorder="1" applyAlignment="1">
      <alignment horizontal="center"/>
    </xf>
    <xf numFmtId="1" fontId="24" fillId="10" borderId="1" xfId="4" applyNumberFormat="1" applyFont="1" applyFill="1" applyBorder="1" applyAlignment="1">
      <alignment horizontal="center"/>
    </xf>
    <xf numFmtId="0" fontId="26" fillId="10" borderId="1" xfId="4" applyFont="1" applyFill="1" applyBorder="1" applyAlignment="1">
      <alignment horizontal="center" wrapText="1"/>
    </xf>
    <xf numFmtId="18" fontId="24" fillId="9" borderId="1" xfId="4" applyNumberFormat="1" applyFont="1" applyFill="1" applyBorder="1" applyAlignment="1">
      <alignment horizontal="center"/>
    </xf>
    <xf numFmtId="0" fontId="33" fillId="0" borderId="1" xfId="6" applyFont="1" applyBorder="1" applyAlignment="1">
      <alignment wrapText="1"/>
    </xf>
    <xf numFmtId="0" fontId="25" fillId="2" borderId="1" xfId="0" applyFont="1" applyFill="1" applyBorder="1"/>
    <xf numFmtId="0" fontId="24" fillId="2" borderId="1" xfId="0" applyFont="1" applyFill="1" applyBorder="1" applyAlignment="1">
      <alignment horizontal="center"/>
    </xf>
    <xf numFmtId="0" fontId="25" fillId="0" borderId="1" xfId="0" applyFont="1" applyBorder="1"/>
    <xf numFmtId="0" fontId="34" fillId="2" borderId="1" xfId="0" applyFont="1" applyFill="1" applyBorder="1"/>
    <xf numFmtId="0" fontId="25" fillId="0" borderId="0" xfId="0" applyFont="1" applyAlignment="1">
      <alignment wrapText="1"/>
    </xf>
    <xf numFmtId="0" fontId="35" fillId="0" borderId="1" xfId="0" applyFont="1" applyBorder="1"/>
    <xf numFmtId="0" fontId="26" fillId="0" borderId="1" xfId="0" applyFont="1" applyBorder="1"/>
    <xf numFmtId="0" fontId="24" fillId="2" borderId="1" xfId="4" applyFont="1" applyFill="1" applyBorder="1" applyAlignment="1">
      <alignment horizontal="left" wrapText="1"/>
    </xf>
    <xf numFmtId="0" fontId="21" fillId="8" borderId="1" xfId="4" applyFont="1" applyFill="1" applyBorder="1" applyAlignment="1">
      <alignment horizontal="left" wrapText="1"/>
    </xf>
    <xf numFmtId="0" fontId="27" fillId="8" borderId="1" xfId="4" applyFont="1" applyFill="1" applyBorder="1" applyAlignment="1">
      <alignment horizontal="center" wrapText="1"/>
    </xf>
    <xf numFmtId="0" fontId="32" fillId="2" borderId="1" xfId="0" applyFont="1" applyFill="1" applyBorder="1"/>
    <xf numFmtId="0" fontId="26" fillId="2" borderId="1" xfId="4" applyFont="1" applyFill="1" applyBorder="1" applyAlignment="1">
      <alignment horizontal="center"/>
    </xf>
    <xf numFmtId="0" fontId="36" fillId="2" borderId="1" xfId="0" applyFont="1" applyFill="1" applyBorder="1" applyAlignment="1">
      <alignment vertical="center"/>
    </xf>
    <xf numFmtId="0" fontId="36" fillId="2" borderId="1" xfId="0" applyFont="1" applyFill="1" applyBorder="1"/>
    <xf numFmtId="0" fontId="26" fillId="9" borderId="1" xfId="4" applyFont="1" applyFill="1" applyBorder="1" applyAlignment="1">
      <alignment horizontal="center" wrapText="1"/>
    </xf>
    <xf numFmtId="0" fontId="25" fillId="2" borderId="1" xfId="4" applyFont="1" applyFill="1" applyBorder="1" applyAlignment="1">
      <alignment vertical="center" wrapText="1"/>
    </xf>
    <xf numFmtId="1" fontId="24" fillId="2" borderId="1" xfId="4" applyNumberFormat="1" applyFont="1" applyFill="1" applyBorder="1" applyAlignment="1">
      <alignment horizontal="center" wrapText="1"/>
    </xf>
    <xf numFmtId="166" fontId="21" fillId="6" borderId="2" xfId="4" applyNumberFormat="1" applyFont="1" applyFill="1" applyBorder="1" applyAlignment="1">
      <alignment horizontal="right"/>
    </xf>
    <xf numFmtId="18" fontId="21" fillId="6" borderId="1" xfId="4" applyNumberFormat="1" applyFont="1" applyFill="1" applyBorder="1" applyAlignment="1">
      <alignment horizontal="center"/>
    </xf>
    <xf numFmtId="0" fontId="21" fillId="6" borderId="1" xfId="4" applyFont="1" applyFill="1" applyBorder="1" applyAlignment="1">
      <alignment horizontal="center"/>
    </xf>
    <xf numFmtId="165" fontId="21" fillId="6" borderId="1" xfId="1" applyNumberFormat="1" applyFont="1" applyFill="1" applyBorder="1" applyAlignment="1">
      <alignment horizontal="center"/>
    </xf>
    <xf numFmtId="0" fontId="24" fillId="6" borderId="1" xfId="4" applyFont="1" applyFill="1" applyBorder="1" applyAlignment="1">
      <alignment horizontal="left" wrapText="1"/>
    </xf>
    <xf numFmtId="0" fontId="24" fillId="6" borderId="1" xfId="4" applyFont="1" applyFill="1" applyBorder="1" applyAlignment="1">
      <alignment horizontal="center"/>
    </xf>
    <xf numFmtId="1" fontId="24" fillId="6" borderId="1" xfId="4" applyNumberFormat="1" applyFont="1" applyFill="1" applyBorder="1" applyAlignment="1">
      <alignment horizontal="center"/>
    </xf>
    <xf numFmtId="0" fontId="26" fillId="6" borderId="1" xfId="4" applyFont="1" applyFill="1" applyBorder="1" applyAlignment="1">
      <alignment horizontal="center" wrapText="1"/>
    </xf>
    <xf numFmtId="166" fontId="21" fillId="2" borderId="1" xfId="4" applyNumberFormat="1" applyFont="1" applyFill="1" applyBorder="1" applyAlignment="1">
      <alignment horizontal="center"/>
    </xf>
    <xf numFmtId="0" fontId="21" fillId="2" borderId="1" xfId="4" applyFont="1" applyFill="1" applyBorder="1" applyAlignment="1">
      <alignment vertical="center" wrapText="1"/>
    </xf>
    <xf numFmtId="0" fontId="24" fillId="2" borderId="3" xfId="4" applyFont="1" applyFill="1" applyBorder="1" applyAlignment="1">
      <alignment horizontal="center"/>
    </xf>
    <xf numFmtId="1" fontId="21" fillId="2" borderId="1" xfId="4" applyNumberFormat="1" applyFont="1" applyFill="1" applyBorder="1" applyAlignment="1">
      <alignment horizontal="center" vertical="top" wrapText="1"/>
    </xf>
    <xf numFmtId="0" fontId="24" fillId="6" borderId="1" xfId="4" applyFont="1" applyFill="1" applyBorder="1" applyAlignment="1">
      <alignment horizontal="center" wrapText="1"/>
    </xf>
    <xf numFmtId="166" fontId="21" fillId="7" borderId="2" xfId="4" applyNumberFormat="1" applyFont="1" applyFill="1" applyBorder="1" applyAlignment="1">
      <alignment horizontal="right"/>
    </xf>
    <xf numFmtId="18" fontId="21" fillId="7" borderId="1" xfId="4" applyNumberFormat="1" applyFont="1" applyFill="1" applyBorder="1" applyAlignment="1">
      <alignment horizontal="center"/>
    </xf>
    <xf numFmtId="0" fontId="21" fillId="7" borderId="1" xfId="4" applyFont="1" applyFill="1" applyBorder="1" applyAlignment="1">
      <alignment horizontal="center"/>
    </xf>
    <xf numFmtId="165" fontId="21" fillId="7" borderId="1" xfId="1" applyNumberFormat="1" applyFont="1" applyFill="1" applyBorder="1" applyAlignment="1">
      <alignment horizontal="center"/>
    </xf>
    <xf numFmtId="0" fontId="21" fillId="7" borderId="1" xfId="4" applyFont="1" applyFill="1" applyBorder="1" applyAlignment="1">
      <alignment horizontal="left" wrapText="1"/>
    </xf>
    <xf numFmtId="0" fontId="24" fillId="7" borderId="1" xfId="4" applyFont="1" applyFill="1" applyBorder="1" applyAlignment="1">
      <alignment horizontal="center"/>
    </xf>
    <xf numFmtId="0" fontId="32" fillId="7" borderId="1" xfId="0" applyFont="1" applyFill="1" applyBorder="1"/>
    <xf numFmtId="1" fontId="24" fillId="7" borderId="1" xfId="4" applyNumberFormat="1" applyFont="1" applyFill="1" applyBorder="1" applyAlignment="1">
      <alignment horizontal="center"/>
    </xf>
    <xf numFmtId="0" fontId="24" fillId="7" borderId="1" xfId="4" applyFont="1" applyFill="1" applyBorder="1" applyAlignment="1">
      <alignment horizontal="center" wrapText="1"/>
    </xf>
    <xf numFmtId="0" fontId="21" fillId="7" borderId="0" xfId="4" applyFont="1" applyFill="1"/>
    <xf numFmtId="0" fontId="25" fillId="7" borderId="0" xfId="0" applyFont="1" applyFill="1"/>
    <xf numFmtId="0" fontId="26" fillId="7" borderId="1" xfId="4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26" fillId="2" borderId="1" xfId="4" applyFont="1" applyFill="1" applyBorder="1" applyAlignment="1">
      <alignment horizontal="left" wrapText="1"/>
    </xf>
    <xf numFmtId="0" fontId="38" fillId="2" borderId="1" xfId="4" applyFont="1" applyFill="1" applyBorder="1" applyAlignment="1">
      <alignment horizontal="left" wrapText="1"/>
    </xf>
    <xf numFmtId="18" fontId="21" fillId="10" borderId="1" xfId="4" applyNumberFormat="1" applyFont="1" applyFill="1" applyBorder="1" applyAlignment="1">
      <alignment horizontal="center"/>
    </xf>
    <xf numFmtId="0" fontId="39" fillId="10" borderId="0" xfId="0" applyFont="1" applyFill="1" applyAlignment="1">
      <alignment vertical="center" wrapText="1"/>
    </xf>
    <xf numFmtId="0" fontId="25" fillId="10" borderId="1" xfId="0" applyFont="1" applyFill="1" applyBorder="1" applyAlignment="1">
      <alignment vertical="center"/>
    </xf>
    <xf numFmtId="166" fontId="24" fillId="2" borderId="2" xfId="4" applyNumberFormat="1" applyFont="1" applyFill="1" applyBorder="1" applyAlignment="1">
      <alignment horizontal="right"/>
    </xf>
    <xf numFmtId="0" fontId="40" fillId="2" borderId="1" xfId="4" applyFont="1" applyFill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0" fontId="21" fillId="2" borderId="1" xfId="4" applyFont="1" applyFill="1" applyBorder="1" applyAlignment="1">
      <alignment horizontal="left" vertical="top" wrapText="1"/>
    </xf>
    <xf numFmtId="0" fontId="42" fillId="2" borderId="1" xfId="4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center"/>
    </xf>
    <xf numFmtId="166" fontId="21" fillId="6" borderId="2" xfId="4" applyNumberFormat="1" applyFont="1" applyFill="1" applyBorder="1" applyAlignment="1">
      <alignment horizontal="center"/>
    </xf>
    <xf numFmtId="18" fontId="26" fillId="6" borderId="1" xfId="4" applyNumberFormat="1" applyFont="1" applyFill="1" applyBorder="1" applyAlignment="1">
      <alignment horizontal="center"/>
    </xf>
    <xf numFmtId="0" fontId="21" fillId="6" borderId="1" xfId="4" applyFont="1" applyFill="1" applyBorder="1" applyAlignment="1">
      <alignment horizontal="center" wrapText="1"/>
    </xf>
    <xf numFmtId="1" fontId="44" fillId="6" borderId="1" xfId="4" applyNumberFormat="1" applyFont="1" applyFill="1" applyBorder="1" applyAlignment="1">
      <alignment horizontal="center"/>
    </xf>
    <xf numFmtId="1" fontId="24" fillId="6" borderId="1" xfId="4" applyNumberFormat="1" applyFont="1" applyFill="1" applyBorder="1" applyAlignment="1">
      <alignment horizontal="center" wrapText="1"/>
    </xf>
    <xf numFmtId="1" fontId="44" fillId="2" borderId="1" xfId="4" applyNumberFormat="1" applyFont="1" applyFill="1" applyBorder="1" applyAlignment="1">
      <alignment horizontal="center"/>
    </xf>
    <xf numFmtId="0" fontId="32" fillId="4" borderId="1" xfId="4" applyFont="1" applyFill="1" applyBorder="1" applyAlignment="1">
      <alignment horizontal="center" vertical="center" wrapText="1"/>
    </xf>
    <xf numFmtId="1" fontId="21" fillId="4" borderId="1" xfId="4" applyNumberFormat="1" applyFont="1" applyFill="1" applyBorder="1" applyAlignment="1">
      <alignment horizontal="center" wrapText="1"/>
    </xf>
    <xf numFmtId="0" fontId="24" fillId="6" borderId="1" xfId="4" applyFont="1" applyFill="1" applyBorder="1" applyAlignment="1">
      <alignment horizontal="center" vertical="top" wrapText="1"/>
    </xf>
    <xf numFmtId="1" fontId="21" fillId="2" borderId="1" xfId="4" applyNumberFormat="1" applyFont="1" applyFill="1" applyBorder="1" applyAlignment="1">
      <alignment horizontal="center" wrapText="1"/>
    </xf>
    <xf numFmtId="166" fontId="21" fillId="3" borderId="4" xfId="4" applyNumberFormat="1" applyFont="1" applyFill="1" applyBorder="1" applyAlignment="1">
      <alignment horizontal="center"/>
    </xf>
    <xf numFmtId="18" fontId="21" fillId="3" borderId="5" xfId="4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/>
    </xf>
    <xf numFmtId="165" fontId="21" fillId="3" borderId="5" xfId="1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left" wrapText="1"/>
    </xf>
    <xf numFmtId="1" fontId="24" fillId="3" borderId="5" xfId="4" applyNumberFormat="1" applyFont="1" applyFill="1" applyBorder="1" applyAlignment="1">
      <alignment horizontal="center"/>
    </xf>
    <xf numFmtId="0" fontId="24" fillId="3" borderId="5" xfId="4" applyFont="1" applyFill="1" applyBorder="1" applyAlignment="1">
      <alignment horizontal="center"/>
    </xf>
    <xf numFmtId="0" fontId="24" fillId="5" borderId="1" xfId="4" applyFont="1" applyFill="1" applyBorder="1" applyAlignment="1">
      <alignment horizontal="center"/>
    </xf>
    <xf numFmtId="0" fontId="26" fillId="3" borderId="5" xfId="4" applyFont="1" applyFill="1" applyBorder="1" applyAlignment="1">
      <alignment horizontal="center" wrapText="1"/>
    </xf>
    <xf numFmtId="166" fontId="21" fillId="4" borderId="1" xfId="4" applyNumberFormat="1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165" fontId="21" fillId="4" borderId="5" xfId="1" applyNumberFormat="1" applyFont="1" applyFill="1" applyBorder="1" applyAlignment="1">
      <alignment horizontal="center"/>
    </xf>
    <xf numFmtId="0" fontId="24" fillId="4" borderId="1" xfId="4" applyFont="1" applyFill="1" applyBorder="1" applyAlignment="1">
      <alignment horizontal="left" wrapText="1"/>
    </xf>
    <xf numFmtId="0" fontId="26" fillId="4" borderId="1" xfId="4" applyFont="1" applyFill="1" applyBorder="1" applyAlignment="1">
      <alignment horizontal="center" wrapText="1"/>
    </xf>
    <xf numFmtId="166" fontId="25" fillId="2" borderId="1" xfId="0" applyNumberFormat="1" applyFont="1" applyFill="1" applyBorder="1"/>
    <xf numFmtId="0" fontId="25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wrapText="1"/>
    </xf>
    <xf numFmtId="166" fontId="25" fillId="4" borderId="1" xfId="0" applyNumberFormat="1" applyFont="1" applyFill="1" applyBorder="1"/>
    <xf numFmtId="0" fontId="25" fillId="4" borderId="1" xfId="0" applyFont="1" applyFill="1" applyBorder="1" applyAlignment="1">
      <alignment wrapText="1"/>
    </xf>
    <xf numFmtId="0" fontId="25" fillId="4" borderId="1" xfId="0" applyFont="1" applyFill="1" applyBorder="1"/>
    <xf numFmtId="166" fontId="25" fillId="9" borderId="1" xfId="0" applyNumberFormat="1" applyFont="1" applyFill="1" applyBorder="1"/>
    <xf numFmtId="18" fontId="25" fillId="9" borderId="1" xfId="0" applyNumberFormat="1" applyFont="1" applyFill="1" applyBorder="1" applyAlignment="1">
      <alignment horizontal="center"/>
    </xf>
    <xf numFmtId="0" fontId="25" fillId="9" borderId="1" xfId="0" applyFont="1" applyFill="1" applyBorder="1" applyAlignment="1">
      <alignment horizontal="center"/>
    </xf>
    <xf numFmtId="0" fontId="39" fillId="9" borderId="1" xfId="0" applyFont="1" applyFill="1" applyBorder="1" applyAlignment="1">
      <alignment wrapText="1"/>
    </xf>
    <xf numFmtId="0" fontId="25" fillId="9" borderId="1" xfId="0" applyFont="1" applyFill="1" applyBorder="1"/>
    <xf numFmtId="18" fontId="25" fillId="2" borderId="1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/>
    </xf>
    <xf numFmtId="0" fontId="45" fillId="2" borderId="1" xfId="0" applyFont="1" applyFill="1" applyBorder="1"/>
    <xf numFmtId="0" fontId="45" fillId="2" borderId="1" xfId="0" applyFont="1" applyFill="1" applyBorder="1" applyAlignment="1">
      <alignment wrapText="1"/>
    </xf>
    <xf numFmtId="166" fontId="45" fillId="4" borderId="1" xfId="0" applyNumberFormat="1" applyFont="1" applyFill="1" applyBorder="1"/>
    <xf numFmtId="0" fontId="45" fillId="4" borderId="1" xfId="0" applyFont="1" applyFill="1" applyBorder="1" applyAlignment="1">
      <alignment horizontal="center"/>
    </xf>
    <xf numFmtId="0" fontId="45" fillId="4" borderId="1" xfId="0" applyFont="1" applyFill="1" applyBorder="1"/>
    <xf numFmtId="166" fontId="45" fillId="2" borderId="1" xfId="0" applyNumberFormat="1" applyFont="1" applyFill="1" applyBorder="1"/>
    <xf numFmtId="0" fontId="45" fillId="2" borderId="1" xfId="0" applyFont="1" applyFill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6" fillId="2" borderId="1" xfId="0" applyFont="1" applyFill="1" applyBorder="1"/>
    <xf numFmtId="0" fontId="13" fillId="2" borderId="1" xfId="1" applyNumberFormat="1" applyFont="1" applyFill="1" applyBorder="1" applyAlignment="1">
      <alignment horizontal="center"/>
    </xf>
    <xf numFmtId="0" fontId="14" fillId="2" borderId="1" xfId="0" applyFont="1" applyFill="1" applyBorder="1"/>
    <xf numFmtId="0" fontId="13" fillId="0" borderId="1" xfId="0" applyFont="1" applyBorder="1"/>
    <xf numFmtId="0" fontId="13" fillId="4" borderId="1" xfId="0" applyFont="1" applyFill="1" applyBorder="1"/>
    <xf numFmtId="0" fontId="46" fillId="4" borderId="1" xfId="0" applyFont="1" applyFill="1" applyBorder="1" applyAlignment="1">
      <alignment horizontal="center"/>
    </xf>
    <xf numFmtId="0" fontId="46" fillId="4" borderId="1" xfId="0" applyFont="1" applyFill="1" applyBorder="1"/>
    <xf numFmtId="0" fontId="32" fillId="2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wrapText="1"/>
    </xf>
    <xf numFmtId="166" fontId="21" fillId="12" borderId="2" xfId="4" applyNumberFormat="1" applyFont="1" applyFill="1" applyBorder="1" applyAlignment="1">
      <alignment horizontal="right"/>
    </xf>
    <xf numFmtId="18" fontId="21" fillId="12" borderId="1" xfId="4" applyNumberFormat="1" applyFont="1" applyFill="1" applyBorder="1" applyAlignment="1">
      <alignment horizontal="center"/>
    </xf>
    <xf numFmtId="0" fontId="21" fillId="12" borderId="1" xfId="4" applyFont="1" applyFill="1" applyBorder="1" applyAlignment="1">
      <alignment horizontal="center"/>
    </xf>
    <xf numFmtId="165" fontId="21" fillId="12" borderId="1" xfId="1" applyNumberFormat="1" applyFont="1" applyFill="1" applyBorder="1" applyAlignment="1">
      <alignment horizontal="center"/>
    </xf>
    <xf numFmtId="0" fontId="37" fillId="12" borderId="1" xfId="4" applyFont="1" applyFill="1" applyBorder="1" applyAlignment="1">
      <alignment horizontal="left" wrapText="1"/>
    </xf>
    <xf numFmtId="0" fontId="24" fillId="12" borderId="1" xfId="4" applyFont="1" applyFill="1" applyBorder="1" applyAlignment="1">
      <alignment horizontal="center"/>
    </xf>
    <xf numFmtId="1" fontId="24" fillId="12" borderId="1" xfId="4" applyNumberFormat="1" applyFont="1" applyFill="1" applyBorder="1" applyAlignment="1">
      <alignment horizontal="center"/>
    </xf>
    <xf numFmtId="0" fontId="24" fillId="12" borderId="1" xfId="4" applyFont="1" applyFill="1" applyBorder="1" applyAlignment="1">
      <alignment horizontal="center" wrapText="1"/>
    </xf>
    <xf numFmtId="0" fontId="26" fillId="12" borderId="1" xfId="4" applyFont="1" applyFill="1" applyBorder="1" applyAlignment="1">
      <alignment horizontal="center"/>
    </xf>
    <xf numFmtId="166" fontId="21" fillId="13" borderId="2" xfId="4" applyNumberFormat="1" applyFont="1" applyFill="1" applyBorder="1" applyAlignment="1">
      <alignment horizontal="right"/>
    </xf>
    <xf numFmtId="18" fontId="21" fillId="13" borderId="1" xfId="4" applyNumberFormat="1" applyFont="1" applyFill="1" applyBorder="1" applyAlignment="1">
      <alignment horizontal="center"/>
    </xf>
    <xf numFmtId="0" fontId="21" fillId="13" borderId="1" xfId="4" applyFont="1" applyFill="1" applyBorder="1" applyAlignment="1">
      <alignment horizontal="center"/>
    </xf>
    <xf numFmtId="165" fontId="21" fillId="13" borderId="1" xfId="1" applyNumberFormat="1" applyFont="1" applyFill="1" applyBorder="1" applyAlignment="1">
      <alignment horizontal="center"/>
    </xf>
    <xf numFmtId="0" fontId="37" fillId="13" borderId="1" xfId="4" applyFont="1" applyFill="1" applyBorder="1" applyAlignment="1">
      <alignment horizontal="left" wrapText="1"/>
    </xf>
    <xf numFmtId="0" fontId="24" fillId="13" borderId="1" xfId="4" applyFont="1" applyFill="1" applyBorder="1" applyAlignment="1">
      <alignment horizontal="center"/>
    </xf>
    <xf numFmtId="1" fontId="24" fillId="13" borderId="1" xfId="4" applyNumberFormat="1" applyFont="1" applyFill="1" applyBorder="1" applyAlignment="1">
      <alignment horizontal="center"/>
    </xf>
    <xf numFmtId="0" fontId="24" fillId="13" borderId="1" xfId="4" applyFont="1" applyFill="1" applyBorder="1" applyAlignment="1">
      <alignment horizontal="center" wrapText="1"/>
    </xf>
    <xf numFmtId="0" fontId="26" fillId="13" borderId="1" xfId="4" applyFont="1" applyFill="1" applyBorder="1" applyAlignment="1">
      <alignment horizontal="center"/>
    </xf>
    <xf numFmtId="166" fontId="21" fillId="14" borderId="2" xfId="4" applyNumberFormat="1" applyFont="1" applyFill="1" applyBorder="1" applyAlignment="1">
      <alignment horizontal="right"/>
    </xf>
    <xf numFmtId="18" fontId="21" fillId="14" borderId="1" xfId="4" applyNumberFormat="1" applyFont="1" applyFill="1" applyBorder="1" applyAlignment="1">
      <alignment horizontal="center"/>
    </xf>
    <xf numFmtId="0" fontId="21" fillId="14" borderId="1" xfId="4" applyFont="1" applyFill="1" applyBorder="1" applyAlignment="1">
      <alignment horizontal="center"/>
    </xf>
    <xf numFmtId="165" fontId="21" fillId="14" borderId="1" xfId="1" applyNumberFormat="1" applyFont="1" applyFill="1" applyBorder="1" applyAlignment="1">
      <alignment horizontal="center"/>
    </xf>
    <xf numFmtId="0" fontId="37" fillId="14" borderId="1" xfId="4" applyFont="1" applyFill="1" applyBorder="1" applyAlignment="1">
      <alignment horizontal="left" wrapText="1"/>
    </xf>
    <xf numFmtId="0" fontId="24" fillId="14" borderId="3" xfId="4" applyFont="1" applyFill="1" applyBorder="1" applyAlignment="1">
      <alignment horizontal="center"/>
    </xf>
    <xf numFmtId="0" fontId="24" fillId="14" borderId="1" xfId="4" applyFont="1" applyFill="1" applyBorder="1" applyAlignment="1">
      <alignment horizontal="center"/>
    </xf>
    <xf numFmtId="0" fontId="32" fillId="14" borderId="1" xfId="0" applyFont="1" applyFill="1" applyBorder="1"/>
    <xf numFmtId="1" fontId="24" fillId="14" borderId="1" xfId="4" applyNumberFormat="1" applyFont="1" applyFill="1" applyBorder="1" applyAlignment="1">
      <alignment horizontal="center"/>
    </xf>
    <xf numFmtId="0" fontId="24" fillId="14" borderId="1" xfId="4" applyFont="1" applyFill="1" applyBorder="1" applyAlignment="1">
      <alignment horizontal="center" wrapText="1"/>
    </xf>
    <xf numFmtId="0" fontId="45" fillId="2" borderId="0" xfId="0" applyFont="1" applyFill="1"/>
    <xf numFmtId="166" fontId="45" fillId="14" borderId="1" xfId="0" applyNumberFormat="1" applyFont="1" applyFill="1" applyBorder="1"/>
    <xf numFmtId="0" fontId="45" fillId="14" borderId="1" xfId="0" applyFont="1" applyFill="1" applyBorder="1" applyAlignment="1">
      <alignment horizontal="center"/>
    </xf>
    <xf numFmtId="0" fontId="13" fillId="14" borderId="1" xfId="0" applyFont="1" applyFill="1" applyBorder="1"/>
    <xf numFmtId="0" fontId="13" fillId="14" borderId="1" xfId="0" applyFont="1" applyFill="1" applyBorder="1" applyAlignment="1">
      <alignment horizontal="center"/>
    </xf>
    <xf numFmtId="0" fontId="46" fillId="14" borderId="1" xfId="0" applyFont="1" applyFill="1" applyBorder="1" applyAlignment="1">
      <alignment horizontal="center"/>
    </xf>
    <xf numFmtId="0" fontId="26" fillId="14" borderId="1" xfId="4" applyFont="1" applyFill="1" applyBorder="1" applyAlignment="1">
      <alignment horizontal="center"/>
    </xf>
    <xf numFmtId="0" fontId="45" fillId="14" borderId="1" xfId="0" applyFont="1" applyFill="1" applyBorder="1"/>
    <xf numFmtId="0" fontId="14" fillId="14" borderId="1" xfId="0" applyFont="1" applyFill="1" applyBorder="1"/>
    <xf numFmtId="0" fontId="27" fillId="8" borderId="0" xfId="0" applyFont="1" applyFill="1" applyAlignment="1">
      <alignment horizontal="center"/>
    </xf>
    <xf numFmtId="166" fontId="25" fillId="8" borderId="0" xfId="0" applyNumberFormat="1" applyFont="1" applyFill="1"/>
    <xf numFmtId="0" fontId="25" fillId="8" borderId="0" xfId="0" applyFont="1" applyFill="1" applyAlignment="1">
      <alignment horizontal="center"/>
    </xf>
    <xf numFmtId="0" fontId="25" fillId="8" borderId="0" xfId="0" applyFont="1" applyFill="1"/>
    <xf numFmtId="0" fontId="25" fillId="8" borderId="0" xfId="0" applyFont="1" applyFill="1" applyAlignment="1">
      <alignment wrapText="1"/>
    </xf>
    <xf numFmtId="0" fontId="47" fillId="4" borderId="1" xfId="0" applyFont="1" applyFill="1" applyBorder="1" applyAlignment="1">
      <alignment horizontal="center"/>
    </xf>
    <xf numFmtId="165" fontId="16" fillId="4" borderId="1" xfId="1" applyNumberFormat="1" applyFont="1" applyFill="1" applyBorder="1" applyAlignment="1">
      <alignment horizontal="center"/>
    </xf>
    <xf numFmtId="0" fontId="48" fillId="4" borderId="1" xfId="4" applyFont="1" applyFill="1" applyBorder="1" applyAlignment="1">
      <alignment horizontal="center"/>
    </xf>
    <xf numFmtId="166" fontId="49" fillId="2" borderId="1" xfId="0" applyNumberFormat="1" applyFont="1" applyFill="1" applyBorder="1"/>
    <xf numFmtId="0" fontId="49" fillId="2" borderId="1" xfId="0" applyFont="1" applyFill="1" applyBorder="1" applyAlignment="1">
      <alignment horizontal="center"/>
    </xf>
    <xf numFmtId="0" fontId="50" fillId="2" borderId="1" xfId="0" applyFont="1" applyFill="1" applyBorder="1"/>
    <xf numFmtId="0" fontId="50" fillId="2" borderId="1" xfId="0" applyFont="1" applyFill="1" applyBorder="1" applyAlignment="1">
      <alignment horizontal="center"/>
    </xf>
    <xf numFmtId="0" fontId="51" fillId="0" borderId="1" xfId="0" applyFont="1" applyBorder="1"/>
    <xf numFmtId="0" fontId="49" fillId="2" borderId="1" xfId="0" applyFont="1" applyFill="1" applyBorder="1"/>
    <xf numFmtId="0" fontId="52" fillId="2" borderId="1" xfId="4" applyFont="1" applyFill="1" applyBorder="1" applyAlignment="1">
      <alignment horizontal="center"/>
    </xf>
    <xf numFmtId="0" fontId="53" fillId="2" borderId="1" xfId="0" applyFont="1" applyFill="1" applyBorder="1" applyAlignment="1">
      <alignment horizontal="center"/>
    </xf>
    <xf numFmtId="0" fontId="49" fillId="2" borderId="0" xfId="0" applyFont="1" applyFill="1"/>
    <xf numFmtId="0" fontId="49" fillId="2" borderId="1" xfId="0" applyFont="1" applyFill="1" applyBorder="1" applyAlignment="1">
      <alignment wrapText="1"/>
    </xf>
    <xf numFmtId="166" fontId="45" fillId="15" borderId="1" xfId="0" applyNumberFormat="1" applyFont="1" applyFill="1" applyBorder="1"/>
    <xf numFmtId="0" fontId="45" fillId="15" borderId="1" xfId="0" applyFont="1" applyFill="1" applyBorder="1" applyAlignment="1">
      <alignment horizontal="center"/>
    </xf>
    <xf numFmtId="0" fontId="13" fillId="15" borderId="1" xfId="0" applyFont="1" applyFill="1" applyBorder="1"/>
    <xf numFmtId="0" fontId="13" fillId="15" borderId="1" xfId="0" applyFont="1" applyFill="1" applyBorder="1" applyAlignment="1">
      <alignment horizontal="center"/>
    </xf>
    <xf numFmtId="0" fontId="54" fillId="15" borderId="1" xfId="0" applyFont="1" applyFill="1" applyBorder="1" applyAlignment="1">
      <alignment horizontal="center"/>
    </xf>
    <xf numFmtId="0" fontId="45" fillId="15" borderId="1" xfId="0" applyFont="1" applyFill="1" applyBorder="1"/>
    <xf numFmtId="0" fontId="24" fillId="15" borderId="1" xfId="4" applyFont="1" applyFill="1" applyBorder="1" applyAlignment="1">
      <alignment horizontal="center"/>
    </xf>
    <xf numFmtId="0" fontId="46" fillId="15" borderId="1" xfId="0" applyFont="1" applyFill="1" applyBorder="1" applyAlignment="1">
      <alignment horizontal="center"/>
    </xf>
    <xf numFmtId="0" fontId="40" fillId="2" borderId="1" xfId="4" applyFont="1" applyFill="1" applyBorder="1" applyAlignment="1">
      <alignment horizontal="left" vertical="center" wrapText="1"/>
    </xf>
    <xf numFmtId="166" fontId="26" fillId="8" borderId="2" xfId="4" applyNumberFormat="1" applyFont="1" applyFill="1" applyBorder="1" applyAlignment="1">
      <alignment horizontal="right"/>
    </xf>
    <xf numFmtId="18" fontId="27" fillId="8" borderId="1" xfId="4" applyNumberFormat="1" applyFont="1" applyFill="1" applyBorder="1" applyAlignment="1">
      <alignment horizontal="center"/>
    </xf>
    <xf numFmtId="0" fontId="55" fillId="8" borderId="1" xfId="4" applyFont="1" applyFill="1" applyBorder="1" applyAlignment="1">
      <alignment horizontal="center"/>
    </xf>
    <xf numFmtId="165" fontId="27" fillId="8" borderId="1" xfId="1" applyNumberFormat="1" applyFont="1" applyFill="1" applyBorder="1" applyAlignment="1">
      <alignment horizontal="center"/>
    </xf>
    <xf numFmtId="0" fontId="56" fillId="8" borderId="1" xfId="4" applyFont="1" applyFill="1" applyBorder="1" applyAlignment="1">
      <alignment horizontal="left" vertical="center" wrapText="1"/>
    </xf>
    <xf numFmtId="0" fontId="26" fillId="8" borderId="1" xfId="4" applyFont="1" applyFill="1" applyBorder="1" applyAlignment="1">
      <alignment horizontal="center"/>
    </xf>
    <xf numFmtId="1" fontId="26" fillId="8" borderId="1" xfId="4" applyNumberFormat="1" applyFont="1" applyFill="1" applyBorder="1" applyAlignment="1">
      <alignment horizontal="center"/>
    </xf>
    <xf numFmtId="0" fontId="26" fillId="8" borderId="1" xfId="0" applyFont="1" applyFill="1" applyBorder="1" applyAlignment="1">
      <alignment vertical="center" wrapText="1"/>
    </xf>
    <xf numFmtId="0" fontId="27" fillId="8" borderId="0" xfId="4" applyFont="1" applyFill="1"/>
    <xf numFmtId="0" fontId="27" fillId="8" borderId="0" xfId="0" applyFont="1" applyFill="1"/>
  </cellXfs>
  <cellStyles count="7">
    <cellStyle name="Comma" xfId="1" builtinId="3"/>
    <cellStyle name="Comma 2" xfId="3" xr:uid="{00000000-0005-0000-0000-000001000000}"/>
    <cellStyle name="Hyperlink" xfId="6" builtinId="8"/>
    <cellStyle name="Normal" xfId="0" builtinId="0"/>
    <cellStyle name="Normal 2" xfId="2" xr:uid="{00000000-0005-0000-0000-000004000000}"/>
    <cellStyle name="Normal_Sheet1" xfId="4" xr:uid="{00000000-0005-0000-0000-000005000000}"/>
    <cellStyle name="Normal_Sheet1_1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cid:sys_attachment.dosys_id0b1a35e7977f0e50a58e33a3f153af8d@SNC.110e1771c7140760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2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cid:image001.png@01DB8508.427FB5A0" TargetMode="External"/><Relationship Id="rId30" Type="http://schemas.openxmlformats.org/officeDocument/2006/relationships/image" Target="../media/image28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28315</xdr:colOff>
      <xdr:row>37</xdr:row>
      <xdr:rowOff>69379</xdr:rowOff>
    </xdr:from>
    <xdr:to>
      <xdr:col>4</xdr:col>
      <xdr:colOff>8549882</xdr:colOff>
      <xdr:row>37</xdr:row>
      <xdr:rowOff>892084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3458" y="42795808"/>
          <a:ext cx="8517757" cy="815085"/>
        </a:xfrm>
        <a:prstGeom prst="rect">
          <a:avLst/>
        </a:prstGeom>
      </xdr:spPr>
    </xdr:pic>
    <xdr:clientData/>
  </xdr:twoCellAnchor>
  <xdr:twoCellAnchor editAs="oneCell">
    <xdr:from>
      <xdr:col>4</xdr:col>
      <xdr:colOff>726281</xdr:colOff>
      <xdr:row>160</xdr:row>
      <xdr:rowOff>333374</xdr:rowOff>
    </xdr:from>
    <xdr:to>
      <xdr:col>4</xdr:col>
      <xdr:colOff>4936648</xdr:colOff>
      <xdr:row>160</xdr:row>
      <xdr:rowOff>1065895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48375" y="65912999"/>
          <a:ext cx="4214812" cy="732521"/>
        </a:xfrm>
        <a:prstGeom prst="rect">
          <a:avLst/>
        </a:prstGeom>
      </xdr:spPr>
    </xdr:pic>
    <xdr:clientData/>
  </xdr:twoCellAnchor>
  <xdr:twoCellAnchor editAs="oneCell">
    <xdr:from>
      <xdr:col>9</xdr:col>
      <xdr:colOff>28597</xdr:colOff>
      <xdr:row>104</xdr:row>
      <xdr:rowOff>98762</xdr:rowOff>
    </xdr:from>
    <xdr:to>
      <xdr:col>9</xdr:col>
      <xdr:colOff>4670500</xdr:colOff>
      <xdr:row>104</xdr:row>
      <xdr:rowOff>287253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22089" y="96761925"/>
          <a:ext cx="4707943" cy="178331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113</xdr:row>
      <xdr:rowOff>69532</xdr:rowOff>
    </xdr:from>
    <xdr:to>
      <xdr:col>9</xdr:col>
      <xdr:colOff>4437494</xdr:colOff>
      <xdr:row>113</xdr:row>
      <xdr:rowOff>952500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03125" y="114702907"/>
          <a:ext cx="4250804" cy="882968"/>
        </a:xfrm>
        <a:prstGeom prst="rect">
          <a:avLst/>
        </a:prstGeom>
      </xdr:spPr>
    </xdr:pic>
    <xdr:clientData/>
  </xdr:twoCellAnchor>
  <xdr:twoCellAnchor editAs="oneCell">
    <xdr:from>
      <xdr:col>9</xdr:col>
      <xdr:colOff>129387</xdr:colOff>
      <xdr:row>114</xdr:row>
      <xdr:rowOff>456247</xdr:rowOff>
    </xdr:from>
    <xdr:to>
      <xdr:col>9</xdr:col>
      <xdr:colOff>4778490</xdr:colOff>
      <xdr:row>114</xdr:row>
      <xdr:rowOff>853468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42012" y="116280247"/>
          <a:ext cx="4639578" cy="397221"/>
        </a:xfrm>
        <a:prstGeom prst="rect">
          <a:avLst/>
        </a:prstGeom>
      </xdr:spPr>
    </xdr:pic>
    <xdr:clientData/>
  </xdr:twoCellAnchor>
  <xdr:twoCellAnchor editAs="oneCell">
    <xdr:from>
      <xdr:col>4</xdr:col>
      <xdr:colOff>59922</xdr:colOff>
      <xdr:row>62</xdr:row>
      <xdr:rowOff>95874</xdr:rowOff>
    </xdr:from>
    <xdr:to>
      <xdr:col>4</xdr:col>
      <xdr:colOff>8612931</xdr:colOff>
      <xdr:row>62</xdr:row>
      <xdr:rowOff>2075541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85065" y="62443803"/>
          <a:ext cx="8555730" cy="1986017"/>
        </a:xfrm>
        <a:prstGeom prst="rect">
          <a:avLst/>
        </a:prstGeom>
      </xdr:spPr>
    </xdr:pic>
    <xdr:clientData/>
  </xdr:twoCellAnchor>
  <xdr:twoCellAnchor editAs="oneCell">
    <xdr:from>
      <xdr:col>9</xdr:col>
      <xdr:colOff>27708</xdr:colOff>
      <xdr:row>103</xdr:row>
      <xdr:rowOff>13854</xdr:rowOff>
    </xdr:from>
    <xdr:to>
      <xdr:col>10</xdr:col>
      <xdr:colOff>576</xdr:colOff>
      <xdr:row>104</xdr:row>
      <xdr:rowOff>57493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221200" y="94765091"/>
          <a:ext cx="4779819" cy="1291702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123</xdr:row>
      <xdr:rowOff>181552</xdr:rowOff>
    </xdr:from>
    <xdr:to>
      <xdr:col>9</xdr:col>
      <xdr:colOff>4401071</xdr:colOff>
      <xdr:row>123</xdr:row>
      <xdr:rowOff>586904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07350" y="118062952"/>
          <a:ext cx="3816871" cy="400907"/>
        </a:xfrm>
        <a:prstGeom prst="rect">
          <a:avLst/>
        </a:prstGeom>
      </xdr:spPr>
    </xdr:pic>
    <xdr:clientData/>
  </xdr:twoCellAnchor>
  <xdr:twoCellAnchor editAs="oneCell">
    <xdr:from>
      <xdr:col>9</xdr:col>
      <xdr:colOff>209203</xdr:colOff>
      <xdr:row>124</xdr:row>
      <xdr:rowOff>314902</xdr:rowOff>
    </xdr:from>
    <xdr:to>
      <xdr:col>10</xdr:col>
      <xdr:colOff>15470</xdr:colOff>
      <xdr:row>124</xdr:row>
      <xdr:rowOff>478810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45053" y="118863052"/>
          <a:ext cx="4469073" cy="160098"/>
        </a:xfrm>
        <a:prstGeom prst="rect">
          <a:avLst/>
        </a:prstGeom>
      </xdr:spPr>
    </xdr:pic>
    <xdr:clientData/>
  </xdr:twoCellAnchor>
  <xdr:twoCellAnchor editAs="oneCell">
    <xdr:from>
      <xdr:col>4</xdr:col>
      <xdr:colOff>84817</xdr:colOff>
      <xdr:row>25</xdr:row>
      <xdr:rowOff>40821</xdr:rowOff>
    </xdr:from>
    <xdr:to>
      <xdr:col>4</xdr:col>
      <xdr:colOff>8518343</xdr:colOff>
      <xdr:row>25</xdr:row>
      <xdr:rowOff>2378438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2746A98-27DC-4CB2-AF0A-2728A08F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09960" y="15552964"/>
          <a:ext cx="8440511" cy="2326822"/>
        </a:xfrm>
        <a:prstGeom prst="rect">
          <a:avLst/>
        </a:prstGeom>
      </xdr:spPr>
    </xdr:pic>
    <xdr:clientData/>
  </xdr:twoCellAnchor>
  <xdr:twoCellAnchor editAs="oneCell">
    <xdr:from>
      <xdr:col>4</xdr:col>
      <xdr:colOff>68036</xdr:colOff>
      <xdr:row>26</xdr:row>
      <xdr:rowOff>7260</xdr:rowOff>
    </xdr:from>
    <xdr:to>
      <xdr:col>4</xdr:col>
      <xdr:colOff>8572500</xdr:colOff>
      <xdr:row>26</xdr:row>
      <xdr:rowOff>2303498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429B382-3331-43DD-9469-8116525DB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93179" y="17968689"/>
          <a:ext cx="8504464" cy="2300048"/>
        </a:xfrm>
        <a:prstGeom prst="rect">
          <a:avLst/>
        </a:prstGeom>
      </xdr:spPr>
    </xdr:pic>
    <xdr:clientData/>
  </xdr:twoCellAnchor>
  <xdr:twoCellAnchor editAs="oneCell">
    <xdr:from>
      <xdr:col>4</xdr:col>
      <xdr:colOff>105681</xdr:colOff>
      <xdr:row>28</xdr:row>
      <xdr:rowOff>64860</xdr:rowOff>
    </xdr:from>
    <xdr:to>
      <xdr:col>4</xdr:col>
      <xdr:colOff>8552542</xdr:colOff>
      <xdr:row>28</xdr:row>
      <xdr:rowOff>2575559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39B38E7-9B45-4E3C-9F67-118D221F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30824" y="23795717"/>
          <a:ext cx="8456386" cy="2506889"/>
        </a:xfrm>
        <a:prstGeom prst="rect">
          <a:avLst/>
        </a:prstGeom>
      </xdr:spPr>
    </xdr:pic>
    <xdr:clientData/>
  </xdr:twoCellAnchor>
  <xdr:twoCellAnchor editAs="oneCell">
    <xdr:from>
      <xdr:col>4</xdr:col>
      <xdr:colOff>91803</xdr:colOff>
      <xdr:row>29</xdr:row>
      <xdr:rowOff>62957</xdr:rowOff>
    </xdr:from>
    <xdr:to>
      <xdr:col>4</xdr:col>
      <xdr:colOff>9143999</xdr:colOff>
      <xdr:row>30</xdr:row>
      <xdr:rowOff>133073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4645798-C975-4E0F-933A-18B5501C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82991" y="26685332"/>
          <a:ext cx="9052196" cy="2768550"/>
        </a:xfrm>
        <a:prstGeom prst="rect">
          <a:avLst/>
        </a:prstGeom>
      </xdr:spPr>
    </xdr:pic>
    <xdr:clientData/>
  </xdr:twoCellAnchor>
  <xdr:twoCellAnchor editAs="oneCell">
    <xdr:from>
      <xdr:col>4</xdr:col>
      <xdr:colOff>510675</xdr:colOff>
      <xdr:row>33</xdr:row>
      <xdr:rowOff>88446</xdr:rowOff>
    </xdr:from>
    <xdr:to>
      <xdr:col>4</xdr:col>
      <xdr:colOff>9046436</xdr:colOff>
      <xdr:row>33</xdr:row>
      <xdr:rowOff>2993169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EC9C9C6-0CFE-45B0-AE9E-DBF0822CB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01863" y="38093196"/>
          <a:ext cx="8531951" cy="2908533"/>
        </a:xfrm>
        <a:prstGeom prst="rect">
          <a:avLst/>
        </a:prstGeom>
      </xdr:spPr>
    </xdr:pic>
    <xdr:clientData/>
  </xdr:twoCellAnchor>
  <xdr:twoCellAnchor editAs="oneCell">
    <xdr:from>
      <xdr:col>4</xdr:col>
      <xdr:colOff>27214</xdr:colOff>
      <xdr:row>35</xdr:row>
      <xdr:rowOff>13607</xdr:rowOff>
    </xdr:from>
    <xdr:to>
      <xdr:col>4</xdr:col>
      <xdr:colOff>8511766</xdr:colOff>
      <xdr:row>35</xdr:row>
      <xdr:rowOff>3523013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BB9E630-9BAF-4AC7-AAE1-F06EEC1AA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52357" y="36249428"/>
          <a:ext cx="8488362" cy="3515756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</xdr:colOff>
      <xdr:row>36</xdr:row>
      <xdr:rowOff>27214</xdr:rowOff>
    </xdr:from>
    <xdr:to>
      <xdr:col>4</xdr:col>
      <xdr:colOff>8514279</xdr:colOff>
      <xdr:row>36</xdr:row>
      <xdr:rowOff>2876778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9934883-C52F-4916-8649-E7586A1E8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79571" y="39841714"/>
          <a:ext cx="8476361" cy="2836864"/>
        </a:xfrm>
        <a:prstGeom prst="rect">
          <a:avLst/>
        </a:prstGeom>
      </xdr:spPr>
    </xdr:pic>
    <xdr:clientData/>
  </xdr:twoCellAnchor>
  <xdr:twoCellAnchor editAs="oneCell">
    <xdr:from>
      <xdr:col>9</xdr:col>
      <xdr:colOff>69318</xdr:colOff>
      <xdr:row>51</xdr:row>
      <xdr:rowOff>68034</xdr:rowOff>
    </xdr:from>
    <xdr:to>
      <xdr:col>10</xdr:col>
      <xdr:colOff>20575</xdr:colOff>
      <xdr:row>51</xdr:row>
      <xdr:rowOff>2136322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EAD1D9E-0790-4665-9F26-991A9040F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00711" y="53707391"/>
          <a:ext cx="4605173" cy="2068288"/>
        </a:xfrm>
        <a:prstGeom prst="rect">
          <a:avLst/>
        </a:prstGeom>
      </xdr:spPr>
    </xdr:pic>
    <xdr:clientData/>
  </xdr:twoCellAnchor>
  <xdr:twoCellAnchor editAs="oneCell">
    <xdr:from>
      <xdr:col>4</xdr:col>
      <xdr:colOff>13608</xdr:colOff>
      <xdr:row>63</xdr:row>
      <xdr:rowOff>13608</xdr:rowOff>
    </xdr:from>
    <xdr:to>
      <xdr:col>4</xdr:col>
      <xdr:colOff>8592688</xdr:colOff>
      <xdr:row>63</xdr:row>
      <xdr:rowOff>2003698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0B40C40-8298-4020-9467-04C003E1C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38751" y="64484251"/>
          <a:ext cx="8565745" cy="2000250"/>
        </a:xfrm>
        <a:prstGeom prst="rect">
          <a:avLst/>
        </a:prstGeom>
      </xdr:spPr>
    </xdr:pic>
    <xdr:clientData/>
  </xdr:twoCellAnchor>
  <xdr:twoCellAnchor editAs="oneCell">
    <xdr:from>
      <xdr:col>4</xdr:col>
      <xdr:colOff>54429</xdr:colOff>
      <xdr:row>74</xdr:row>
      <xdr:rowOff>40822</xdr:rowOff>
    </xdr:from>
    <xdr:to>
      <xdr:col>4</xdr:col>
      <xdr:colOff>8552605</xdr:colOff>
      <xdr:row>74</xdr:row>
      <xdr:rowOff>3373664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9DA3854-992C-4DFE-8D4B-48E26CDF1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279572" y="82037465"/>
          <a:ext cx="8510876" cy="332014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59</xdr:row>
      <xdr:rowOff>228600</xdr:rowOff>
    </xdr:from>
    <xdr:to>
      <xdr:col>4</xdr:col>
      <xdr:colOff>6477000</xdr:colOff>
      <xdr:row>59</xdr:row>
      <xdr:rowOff>2415540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8547694-E282-40BE-8772-6F1D4CBF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372100" y="63055500"/>
          <a:ext cx="6381750" cy="219075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138</xdr:row>
      <xdr:rowOff>76200</xdr:rowOff>
    </xdr:from>
    <xdr:to>
      <xdr:col>4</xdr:col>
      <xdr:colOff>10194293</xdr:colOff>
      <xdr:row>138</xdr:row>
      <xdr:rowOff>2171438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A79370-E1B7-266B-F463-0EC02E754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34000" y="119729250"/>
          <a:ext cx="10133333" cy="2095238"/>
        </a:xfrm>
        <a:prstGeom prst="rect">
          <a:avLst/>
        </a:prstGeom>
      </xdr:spPr>
    </xdr:pic>
    <xdr:clientData/>
  </xdr:twoCellAnchor>
  <xdr:oneCellAnchor>
    <xdr:from>
      <xdr:col>9</xdr:col>
      <xdr:colOff>24787</xdr:colOff>
      <xdr:row>109</xdr:row>
      <xdr:rowOff>331171</xdr:rowOff>
    </xdr:from>
    <xdr:ext cx="4641268" cy="478453"/>
    <xdr:pic>
      <xdr:nvPicPr>
        <xdr:cNvPr id="2" name="Picture 1">
          <a:extLst>
            <a:ext uri="{FF2B5EF4-FFF2-40B4-BE49-F238E27FC236}">
              <a16:creationId xmlns:a16="http://schemas.microsoft.com/office/drawing/2014/main" id="{7897AC96-B815-4624-88C7-0AFD5861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37412" y="112488046"/>
          <a:ext cx="4641268" cy="478453"/>
        </a:xfrm>
        <a:prstGeom prst="rect">
          <a:avLst/>
        </a:prstGeom>
      </xdr:spPr>
    </xdr:pic>
    <xdr:clientData/>
  </xdr:oneCellAnchor>
  <xdr:oneCellAnchor>
    <xdr:from>
      <xdr:col>9</xdr:col>
      <xdr:colOff>27708</xdr:colOff>
      <xdr:row>108</xdr:row>
      <xdr:rowOff>13854</xdr:rowOff>
    </xdr:from>
    <xdr:ext cx="4636944" cy="1291414"/>
    <xdr:pic>
      <xdr:nvPicPr>
        <xdr:cNvPr id="9" name="Picture 8">
          <a:extLst>
            <a:ext uri="{FF2B5EF4-FFF2-40B4-BE49-F238E27FC236}">
              <a16:creationId xmlns:a16="http://schemas.microsoft.com/office/drawing/2014/main" id="{4CD5D903-9DCD-4CA8-914E-FB3FFB6F4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66733" y="107166929"/>
          <a:ext cx="4636944" cy="1291414"/>
        </a:xfrm>
        <a:prstGeom prst="rect">
          <a:avLst/>
        </a:prstGeom>
      </xdr:spPr>
    </xdr:pic>
    <xdr:clientData/>
  </xdr:oneCellAnchor>
  <xdr:oneCellAnchor>
    <xdr:from>
      <xdr:col>9</xdr:col>
      <xdr:colOff>190500</xdr:colOff>
      <xdr:row>118</xdr:row>
      <xdr:rowOff>95249</xdr:rowOff>
    </xdr:from>
    <xdr:ext cx="4246994" cy="369420"/>
    <xdr:pic>
      <xdr:nvPicPr>
        <xdr:cNvPr id="12" name="Picture 11">
          <a:extLst>
            <a:ext uri="{FF2B5EF4-FFF2-40B4-BE49-F238E27FC236}">
              <a16:creationId xmlns:a16="http://schemas.microsoft.com/office/drawing/2014/main" id="{47E95DBA-AE30-4B60-BAA2-E3A00C9B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26350" y="114909599"/>
          <a:ext cx="4246994" cy="369420"/>
        </a:xfrm>
        <a:prstGeom prst="rect">
          <a:avLst/>
        </a:prstGeom>
      </xdr:spPr>
    </xdr:pic>
    <xdr:clientData/>
  </xdr:oneCellAnchor>
  <xdr:oneCellAnchor>
    <xdr:from>
      <xdr:col>9</xdr:col>
      <xdr:colOff>37947</xdr:colOff>
      <xdr:row>119</xdr:row>
      <xdr:rowOff>-1</xdr:rowOff>
    </xdr:from>
    <xdr:ext cx="4628148" cy="409286"/>
    <xdr:pic>
      <xdr:nvPicPr>
        <xdr:cNvPr id="14" name="Picture 13">
          <a:extLst>
            <a:ext uri="{FF2B5EF4-FFF2-40B4-BE49-F238E27FC236}">
              <a16:creationId xmlns:a16="http://schemas.microsoft.com/office/drawing/2014/main" id="{0BF6851B-A84B-4B5A-80A0-0B588A3E7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73797" y="115404899"/>
          <a:ext cx="4628148" cy="409286"/>
        </a:xfrm>
        <a:prstGeom prst="rect">
          <a:avLst/>
        </a:prstGeom>
      </xdr:spPr>
    </xdr:pic>
    <xdr:clientData/>
  </xdr:oneCellAnchor>
  <xdr:oneCellAnchor>
    <xdr:from>
      <xdr:col>9</xdr:col>
      <xdr:colOff>571500</xdr:colOff>
      <xdr:row>128</xdr:row>
      <xdr:rowOff>181552</xdr:rowOff>
    </xdr:from>
    <xdr:ext cx="3820046" cy="400907"/>
    <xdr:pic>
      <xdr:nvPicPr>
        <xdr:cNvPr id="15" name="Picture 14">
          <a:extLst>
            <a:ext uri="{FF2B5EF4-FFF2-40B4-BE49-F238E27FC236}">
              <a16:creationId xmlns:a16="http://schemas.microsoft.com/office/drawing/2014/main" id="{DAA81EF4-D507-4933-B7A6-EEF92E918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07350" y="121126827"/>
          <a:ext cx="3820046" cy="400907"/>
        </a:xfrm>
        <a:prstGeom prst="rect">
          <a:avLst/>
        </a:prstGeom>
      </xdr:spPr>
    </xdr:pic>
    <xdr:clientData/>
  </xdr:oneCellAnchor>
  <xdr:oneCellAnchor>
    <xdr:from>
      <xdr:col>9</xdr:col>
      <xdr:colOff>209203</xdr:colOff>
      <xdr:row>129</xdr:row>
      <xdr:rowOff>314902</xdr:rowOff>
    </xdr:from>
    <xdr:ext cx="4465898" cy="163273"/>
    <xdr:pic>
      <xdr:nvPicPr>
        <xdr:cNvPr id="16" name="Picture 15">
          <a:extLst>
            <a:ext uri="{FF2B5EF4-FFF2-40B4-BE49-F238E27FC236}">
              <a16:creationId xmlns:a16="http://schemas.microsoft.com/office/drawing/2014/main" id="{B62FAC19-CE59-4DA2-B10B-B819A5134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45053" y="121926927"/>
          <a:ext cx="4465898" cy="163273"/>
        </a:xfrm>
        <a:prstGeom prst="rect">
          <a:avLst/>
        </a:prstGeom>
      </xdr:spPr>
    </xdr:pic>
    <xdr:clientData/>
  </xdr:oneCellAnchor>
  <xdr:twoCellAnchor editAs="oneCell">
    <xdr:from>
      <xdr:col>4</xdr:col>
      <xdr:colOff>152400</xdr:colOff>
      <xdr:row>42</xdr:row>
      <xdr:rowOff>209550</xdr:rowOff>
    </xdr:from>
    <xdr:to>
      <xdr:col>4</xdr:col>
      <xdr:colOff>8137369</xdr:colOff>
      <xdr:row>42</xdr:row>
      <xdr:rowOff>1352708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4568D30-F32E-4FEF-9DA1-123389A52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48350" y="47053500"/>
          <a:ext cx="7994494" cy="1143158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40</xdr:row>
      <xdr:rowOff>50800</xdr:rowOff>
    </xdr:from>
    <xdr:to>
      <xdr:col>4</xdr:col>
      <xdr:colOff>8285480</xdr:colOff>
      <xdr:row>40</xdr:row>
      <xdr:rowOff>1145835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7A25617-6207-47CE-9A2E-8F906597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676900" y="43993435"/>
          <a:ext cx="8171180" cy="1091225"/>
        </a:xfrm>
        <a:prstGeom prst="rect">
          <a:avLst/>
        </a:prstGeom>
      </xdr:spPr>
    </xdr:pic>
    <xdr:clientData/>
  </xdr:twoCellAnchor>
  <xdr:twoCellAnchor editAs="oneCell">
    <xdr:from>
      <xdr:col>4</xdr:col>
      <xdr:colOff>174308</xdr:colOff>
      <xdr:row>71</xdr:row>
      <xdr:rowOff>148591</xdr:rowOff>
    </xdr:from>
    <xdr:to>
      <xdr:col>4</xdr:col>
      <xdr:colOff>6778942</xdr:colOff>
      <xdr:row>71</xdr:row>
      <xdr:rowOff>2286001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864C09E-760F-81BE-F244-80260EE5A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65496" y="79825216"/>
          <a:ext cx="6604634" cy="213741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24</xdr:row>
      <xdr:rowOff>95251</xdr:rowOff>
    </xdr:from>
    <xdr:to>
      <xdr:col>4</xdr:col>
      <xdr:colOff>11980285</xdr:colOff>
      <xdr:row>24</xdr:row>
      <xdr:rowOff>2419349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1F97C-DA5B-E691-5399-A29714D1F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81688" y="17692689"/>
          <a:ext cx="11789785" cy="2335528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32</xdr:row>
      <xdr:rowOff>142875</xdr:rowOff>
    </xdr:from>
    <xdr:to>
      <xdr:col>4</xdr:col>
      <xdr:colOff>11888845</xdr:colOff>
      <xdr:row>32</xdr:row>
      <xdr:rowOff>3811905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EBFD1C3-1451-5533-85E6-A8879626C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786438" y="33956625"/>
          <a:ext cx="11793595" cy="3669030"/>
        </a:xfrm>
        <a:prstGeom prst="rect">
          <a:avLst/>
        </a:prstGeom>
      </xdr:spPr>
    </xdr:pic>
    <xdr:clientData/>
  </xdr:twoCellAnchor>
  <xdr:twoCellAnchor>
    <xdr:from>
      <xdr:col>4</xdr:col>
      <xdr:colOff>67627</xdr:colOff>
      <xdr:row>34</xdr:row>
      <xdr:rowOff>55245</xdr:rowOff>
    </xdr:from>
    <xdr:to>
      <xdr:col>6</xdr:col>
      <xdr:colOff>133350</xdr:colOff>
      <xdr:row>34</xdr:row>
      <xdr:rowOff>5072061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75B5105B-19D0-520D-1BE1-491E5650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r:link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815" y="41060370"/>
          <a:ext cx="15258098" cy="5016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4362450</xdr:colOff>
      <xdr:row>51</xdr:row>
      <xdr:rowOff>133350</xdr:rowOff>
    </xdr:from>
    <xdr:to>
      <xdr:col>5</xdr:col>
      <xdr:colOff>0</xdr:colOff>
      <xdr:row>51</xdr:row>
      <xdr:rowOff>4895850</xdr:rowOff>
    </xdr:to>
    <xdr:pic>
      <xdr:nvPicPr>
        <xdr:cNvPr id="48" name="Picture 47" descr="A computer screen shot of a program&#10;&#10;Description automatically generated">
          <a:extLst>
            <a:ext uri="{FF2B5EF4-FFF2-40B4-BE49-F238E27FC236}">
              <a16:creationId xmlns:a16="http://schemas.microsoft.com/office/drawing/2014/main" id="{4264823C-8DDC-F81A-2105-FF65DFB7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r:link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65741550"/>
          <a:ext cx="9624060" cy="476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95250</xdr:colOff>
      <xdr:row>58</xdr:row>
      <xdr:rowOff>95250</xdr:rowOff>
    </xdr:from>
    <xdr:to>
      <xdr:col>4</xdr:col>
      <xdr:colOff>5201091</xdr:colOff>
      <xdr:row>58</xdr:row>
      <xdr:rowOff>2015656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AE4A6C1-EFA9-9C63-5D7B-48E645EBE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772150" y="75190350"/>
          <a:ext cx="5090601" cy="1920406"/>
        </a:xfrm>
        <a:prstGeom prst="rect">
          <a:avLst/>
        </a:prstGeom>
      </xdr:spPr>
    </xdr:pic>
    <xdr:clientData/>
  </xdr:twoCellAnchor>
  <xdr:twoCellAnchor editAs="oneCell">
    <xdr:from>
      <xdr:col>4</xdr:col>
      <xdr:colOff>258128</xdr:colOff>
      <xdr:row>73</xdr:row>
      <xdr:rowOff>43814</xdr:rowOff>
    </xdr:from>
    <xdr:to>
      <xdr:col>4</xdr:col>
      <xdr:colOff>10119263</xdr:colOff>
      <xdr:row>73</xdr:row>
      <xdr:rowOff>3236594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C1E6B01-8628-6152-3897-46C4575C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92191" y="97103564"/>
          <a:ext cx="9868755" cy="3192780"/>
        </a:xfrm>
        <a:prstGeom prst="rect">
          <a:avLst/>
        </a:prstGeom>
      </xdr:spPr>
    </xdr:pic>
    <xdr:clientData/>
  </xdr:twoCellAnchor>
  <xdr:twoCellAnchor editAs="oneCell">
    <xdr:from>
      <xdr:col>4</xdr:col>
      <xdr:colOff>1381125</xdr:colOff>
      <xdr:row>88</xdr:row>
      <xdr:rowOff>71438</xdr:rowOff>
    </xdr:from>
    <xdr:to>
      <xdr:col>4</xdr:col>
      <xdr:colOff>10722150</xdr:colOff>
      <xdr:row>88</xdr:row>
      <xdr:rowOff>1542225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041F937-C73E-9544-0565-F1B1D3816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215188" y="110918626"/>
          <a:ext cx="9344835" cy="1466977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</xdr:colOff>
      <xdr:row>172</xdr:row>
      <xdr:rowOff>126682</xdr:rowOff>
    </xdr:from>
    <xdr:to>
      <xdr:col>4</xdr:col>
      <xdr:colOff>10477500</xdr:colOff>
      <xdr:row>172</xdr:row>
      <xdr:rowOff>3412807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42A43DD-685D-30FF-6A02-0560036E3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244715" y="172886370"/>
          <a:ext cx="10424160" cy="3278505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1000125</xdr:colOff>
      <xdr:row>172</xdr:row>
      <xdr:rowOff>3537263</xdr:rowOff>
    </xdr:from>
    <xdr:to>
      <xdr:col>4</xdr:col>
      <xdr:colOff>10611802</xdr:colOff>
      <xdr:row>172</xdr:row>
      <xdr:rowOff>4290059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C1A251D-1A6C-122A-96F2-336D6A58B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167563" y="176296951"/>
          <a:ext cx="10620374" cy="752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9</xdr:col>
      <xdr:colOff>536353</xdr:colOff>
      <xdr:row>60</xdr:row>
      <xdr:rowOff>136667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A5C27-7524-44F6-9B39-CA2632667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10639425"/>
          <a:ext cx="6860953" cy="3933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licensecodes.oracle.com/cgi-bin/keygen.pl" TargetMode="External"/><Relationship Id="rId1" Type="http://schemas.openxmlformats.org/officeDocument/2006/relationships/hyperlink" Target="https://olamvssprod.mclaneco.com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workbookViewId="0">
      <selection activeCell="I14" sqref="I14"/>
    </sheetView>
  </sheetViews>
  <sheetFormatPr defaultRowHeight="14.45"/>
  <sheetData>
    <row r="2" spans="2:3">
      <c r="B2" s="3" t="s">
        <v>0</v>
      </c>
    </row>
    <row r="3" spans="2:3">
      <c r="B3" s="46" t="s">
        <v>1</v>
      </c>
    </row>
    <row r="4" spans="2:3">
      <c r="B4" s="1"/>
    </row>
    <row r="5" spans="2:3">
      <c r="B5" s="1"/>
    </row>
    <row r="6" spans="2:3">
      <c r="B6" s="4" t="s">
        <v>2</v>
      </c>
    </row>
    <row r="7" spans="2:3">
      <c r="B7" s="5"/>
      <c r="C7" t="s">
        <v>3</v>
      </c>
    </row>
    <row r="8" spans="2:3">
      <c r="B8" s="2"/>
    </row>
    <row r="9" spans="2:3">
      <c r="B9" s="2"/>
    </row>
    <row r="10" spans="2:3">
      <c r="B10" s="2"/>
    </row>
    <row r="11" spans="2:3">
      <c r="B11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20"/>
  <sheetViews>
    <sheetView showGridLines="0" tabSelected="1" zoomScale="50" zoomScaleNormal="50" workbookViewId="0">
      <selection activeCell="B1" sqref="B1"/>
    </sheetView>
  </sheetViews>
  <sheetFormatPr defaultColWidth="9.140625" defaultRowHeight="28.9"/>
  <cols>
    <col min="1" max="1" width="20" style="59" bestFit="1" customWidth="1"/>
    <col min="2" max="2" width="26" style="162" bestFit="1" customWidth="1"/>
    <col min="3" max="3" width="43.5703125" style="33" bestFit="1" customWidth="1"/>
    <col min="4" max="4" width="14.85546875" style="162" bestFit="1" customWidth="1"/>
    <col min="5" max="5" width="205.5703125" style="216" customWidth="1"/>
    <col min="6" max="6" width="16.140625" style="33" bestFit="1" customWidth="1"/>
    <col min="7" max="7" width="25.7109375" style="33" bestFit="1" customWidth="1"/>
    <col min="8" max="8" width="22.7109375" style="33" bestFit="1" customWidth="1"/>
    <col min="9" max="9" width="9.140625" style="33"/>
    <col min="10" max="10" width="73.42578125" style="33" customWidth="1"/>
    <col min="11" max="16384" width="9.140625" style="33"/>
  </cols>
  <sheetData>
    <row r="1" spans="1:256" ht="54" customHeight="1">
      <c r="A1" s="47" t="s">
        <v>4</v>
      </c>
      <c r="B1" s="48">
        <v>45716</v>
      </c>
      <c r="C1" s="49" t="s">
        <v>5</v>
      </c>
      <c r="D1" s="50"/>
      <c r="E1" s="45" t="s">
        <v>6</v>
      </c>
      <c r="F1" s="51"/>
      <c r="G1" s="39"/>
      <c r="H1" s="39"/>
      <c r="I1" s="39"/>
      <c r="J1" s="40"/>
      <c r="K1" s="31"/>
      <c r="L1" s="31"/>
      <c r="M1" s="31"/>
      <c r="N1" s="31"/>
      <c r="O1" s="31"/>
      <c r="P1" s="31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</row>
    <row r="2" spans="1:256">
      <c r="A2" s="52" t="s">
        <v>7</v>
      </c>
      <c r="B2" s="53" t="s">
        <v>8</v>
      </c>
      <c r="C2" s="39" t="s">
        <v>5</v>
      </c>
      <c r="D2" s="54" t="s">
        <v>9</v>
      </c>
      <c r="E2" s="45" t="s">
        <v>10</v>
      </c>
      <c r="F2" s="39" t="s">
        <v>11</v>
      </c>
      <c r="G2" s="39" t="s">
        <v>11</v>
      </c>
      <c r="H2" s="39" t="s">
        <v>11</v>
      </c>
      <c r="I2" s="39" t="s">
        <v>11</v>
      </c>
      <c r="J2" s="45" t="s">
        <v>12</v>
      </c>
      <c r="K2" s="31"/>
      <c r="L2" s="31"/>
      <c r="M2" s="31"/>
      <c r="N2" s="31"/>
      <c r="O2" s="31"/>
      <c r="P2" s="31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</row>
    <row r="3" spans="1:256">
      <c r="A3" s="34"/>
      <c r="B3" s="55"/>
      <c r="C3" s="39"/>
      <c r="D3" s="54"/>
      <c r="E3" s="45" t="s">
        <v>13</v>
      </c>
      <c r="F3" s="39" t="s">
        <v>14</v>
      </c>
      <c r="G3" s="39" t="s">
        <v>14</v>
      </c>
      <c r="H3" s="39" t="s">
        <v>14</v>
      </c>
      <c r="I3" s="39" t="s">
        <v>14</v>
      </c>
      <c r="J3" s="45"/>
      <c r="K3" s="31"/>
      <c r="L3" s="31"/>
      <c r="M3" s="31"/>
      <c r="N3" s="31"/>
      <c r="O3" s="31"/>
      <c r="P3" s="3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</row>
    <row r="4" spans="1:256">
      <c r="A4" s="34"/>
      <c r="B4" s="55"/>
      <c r="C4" s="39"/>
      <c r="D4" s="54"/>
      <c r="E4" s="56"/>
      <c r="F4" s="39"/>
      <c r="G4" s="39"/>
      <c r="H4" s="39"/>
      <c r="I4" s="39"/>
      <c r="J4" s="45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</row>
    <row r="5" spans="1:256" ht="39" customHeight="1">
      <c r="A5" s="57"/>
      <c r="B5" s="58"/>
      <c r="C5" s="36" t="s">
        <v>5</v>
      </c>
      <c r="D5" s="37"/>
      <c r="E5" s="45" t="s">
        <v>15</v>
      </c>
      <c r="F5" s="39"/>
      <c r="G5" s="39"/>
      <c r="H5" s="39"/>
      <c r="I5" s="39"/>
      <c r="J5" s="45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</row>
    <row r="6" spans="1:256" ht="54" customHeight="1">
      <c r="A6" s="34">
        <v>0.2722222222222222</v>
      </c>
      <c r="B6" s="58"/>
      <c r="C6" s="36" t="s">
        <v>16</v>
      </c>
      <c r="D6" s="37">
        <v>1</v>
      </c>
      <c r="E6" s="38" t="s">
        <v>17</v>
      </c>
      <c r="F6" s="39"/>
      <c r="G6" s="39"/>
      <c r="H6" s="39"/>
      <c r="I6" s="39"/>
      <c r="J6" s="45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</row>
    <row r="7" spans="1:256" ht="66.75" customHeight="1">
      <c r="A7" s="34"/>
      <c r="B7" s="35" t="s">
        <v>18</v>
      </c>
      <c r="C7" s="36" t="s">
        <v>16</v>
      </c>
      <c r="D7" s="37">
        <f>+SUM(D6+1)</f>
        <v>2</v>
      </c>
      <c r="E7" s="38" t="s">
        <v>19</v>
      </c>
      <c r="F7" s="39"/>
      <c r="G7" s="39"/>
      <c r="H7" s="39" t="s">
        <v>20</v>
      </c>
      <c r="I7" s="39"/>
      <c r="J7" s="4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</row>
    <row r="8" spans="1:256" ht="79.900000000000006" customHeight="1">
      <c r="B8" s="35" t="s">
        <v>18</v>
      </c>
      <c r="C8" s="36" t="s">
        <v>16</v>
      </c>
      <c r="D8" s="37">
        <f t="shared" ref="D8:D11" si="0">+SUM(D7+1)</f>
        <v>3</v>
      </c>
      <c r="E8" s="60" t="s">
        <v>21</v>
      </c>
      <c r="F8" s="39" t="s">
        <v>5</v>
      </c>
      <c r="G8" s="39"/>
      <c r="H8" s="39" t="s">
        <v>20</v>
      </c>
      <c r="I8" s="39"/>
      <c r="J8" s="40" t="s">
        <v>22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</row>
    <row r="9" spans="1:256" ht="49.9" customHeight="1">
      <c r="A9" s="34"/>
      <c r="B9" s="35" t="s">
        <v>23</v>
      </c>
      <c r="C9" s="36" t="s">
        <v>16</v>
      </c>
      <c r="D9" s="37">
        <f t="shared" si="0"/>
        <v>4</v>
      </c>
      <c r="E9" s="61" t="s">
        <v>24</v>
      </c>
      <c r="F9" s="39"/>
      <c r="G9" s="39"/>
      <c r="H9" s="39" t="s">
        <v>20</v>
      </c>
      <c r="I9" s="39"/>
      <c r="J9" s="40" t="s">
        <v>25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</row>
    <row r="10" spans="1:256" ht="77.45" customHeight="1">
      <c r="A10" s="34"/>
      <c r="B10" s="35" t="s">
        <v>23</v>
      </c>
      <c r="C10" s="36" t="s">
        <v>16</v>
      </c>
      <c r="D10" s="37">
        <f t="shared" si="0"/>
        <v>5</v>
      </c>
      <c r="E10" s="38" t="s">
        <v>26</v>
      </c>
      <c r="F10" s="39"/>
      <c r="G10" s="39"/>
      <c r="H10" s="39" t="s">
        <v>20</v>
      </c>
      <c r="I10" s="39"/>
      <c r="J10" s="62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</row>
    <row r="11" spans="1:256" ht="66.75" customHeight="1">
      <c r="A11" s="34"/>
      <c r="B11" s="35" t="s">
        <v>23</v>
      </c>
      <c r="C11" s="36" t="s">
        <v>16</v>
      </c>
      <c r="D11" s="37">
        <f t="shared" si="0"/>
        <v>6</v>
      </c>
      <c r="E11" s="38" t="s">
        <v>27</v>
      </c>
      <c r="F11" s="39"/>
      <c r="G11" s="39"/>
      <c r="H11" s="39" t="s">
        <v>20</v>
      </c>
      <c r="I11" s="39"/>
      <c r="J11" s="4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</row>
    <row r="12" spans="1:256" ht="54" customHeight="1">
      <c r="A12" s="23"/>
      <c r="B12" s="24"/>
      <c r="C12" s="25"/>
      <c r="D12" s="26">
        <f t="shared" ref="D12:D15" si="1">+SUM(D11+1)</f>
        <v>7</v>
      </c>
      <c r="E12" s="27" t="s">
        <v>28</v>
      </c>
      <c r="F12" s="28"/>
      <c r="G12" s="28"/>
      <c r="H12" s="28"/>
      <c r="I12" s="29"/>
      <c r="J12" s="30"/>
      <c r="K12" s="31"/>
      <c r="L12" s="31"/>
      <c r="M12" s="31"/>
      <c r="N12" s="31"/>
      <c r="O12" s="31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  <c r="IG12" s="32"/>
      <c r="IH12" s="32"/>
      <c r="II12" s="32"/>
      <c r="IJ12" s="32"/>
      <c r="IK12" s="32"/>
      <c r="IL12" s="32"/>
      <c r="IM12" s="32"/>
      <c r="IN12" s="32"/>
      <c r="IO12" s="32"/>
      <c r="IP12" s="32"/>
      <c r="IQ12" s="32"/>
      <c r="IR12" s="32"/>
      <c r="IS12" s="32"/>
      <c r="IT12" s="32"/>
      <c r="IU12" s="32"/>
      <c r="IV12" s="32"/>
    </row>
    <row r="13" spans="1:256" ht="66.75" customHeight="1">
      <c r="A13" s="34">
        <v>0.27430555555555558</v>
      </c>
      <c r="B13" s="35"/>
      <c r="C13" s="36" t="s">
        <v>29</v>
      </c>
      <c r="D13" s="37">
        <f t="shared" si="1"/>
        <v>8</v>
      </c>
      <c r="E13" s="38" t="s">
        <v>30</v>
      </c>
      <c r="F13" s="39"/>
      <c r="G13" s="39"/>
      <c r="H13" s="39" t="s">
        <v>31</v>
      </c>
      <c r="I13" s="39"/>
      <c r="J13" s="4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</row>
    <row r="14" spans="1:256" ht="66.75" customHeight="1">
      <c r="A14" s="34"/>
      <c r="B14" s="35"/>
      <c r="C14" s="36" t="s">
        <v>29</v>
      </c>
      <c r="D14" s="37">
        <f t="shared" si="1"/>
        <v>9</v>
      </c>
      <c r="E14" s="38" t="s">
        <v>32</v>
      </c>
      <c r="F14" s="39"/>
      <c r="G14" s="39"/>
      <c r="H14" s="39" t="s">
        <v>31</v>
      </c>
      <c r="I14" s="39"/>
      <c r="J14" s="40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</row>
    <row r="15" spans="1:256" ht="66.75" customHeight="1">
      <c r="A15" s="34"/>
      <c r="B15" s="35"/>
      <c r="C15" s="36" t="s">
        <v>29</v>
      </c>
      <c r="D15" s="37">
        <f t="shared" si="1"/>
        <v>10</v>
      </c>
      <c r="E15" s="38" t="s">
        <v>33</v>
      </c>
      <c r="F15" s="39"/>
      <c r="G15" s="39"/>
      <c r="H15" s="39" t="s">
        <v>31</v>
      </c>
      <c r="I15" s="39"/>
      <c r="J15" s="4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</row>
    <row r="16" spans="1:256" ht="54" customHeight="1">
      <c r="A16" s="23"/>
      <c r="B16" s="24"/>
      <c r="C16" s="25" t="s">
        <v>34</v>
      </c>
      <c r="D16" s="26">
        <f>+SUM(D15+1)</f>
        <v>11</v>
      </c>
      <c r="E16" s="27" t="s">
        <v>35</v>
      </c>
      <c r="F16" s="28"/>
      <c r="G16" s="28"/>
      <c r="H16" s="28"/>
      <c r="I16" s="29"/>
      <c r="J16" s="30"/>
      <c r="K16" s="31"/>
      <c r="L16" s="31"/>
      <c r="M16" s="31"/>
      <c r="N16" s="31"/>
      <c r="O16" s="31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</row>
    <row r="17" spans="1:256" ht="65.650000000000006" customHeight="1">
      <c r="A17" s="34">
        <v>0.27777777777777779</v>
      </c>
      <c r="B17" s="35" t="s">
        <v>18</v>
      </c>
      <c r="C17" s="36" t="s">
        <v>34</v>
      </c>
      <c r="D17" s="37">
        <f>+SUM(D16+1)</f>
        <v>12</v>
      </c>
      <c r="E17" s="41" t="s">
        <v>36</v>
      </c>
      <c r="F17" s="39" t="s">
        <v>5</v>
      </c>
      <c r="G17" s="39"/>
      <c r="H17" s="39" t="s">
        <v>31</v>
      </c>
      <c r="I17" s="39"/>
      <c r="J17" s="40" t="s">
        <v>34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</row>
    <row r="18" spans="1:256" ht="65.650000000000006" customHeight="1">
      <c r="A18" s="34"/>
      <c r="B18" s="35"/>
      <c r="C18" s="36" t="s">
        <v>34</v>
      </c>
      <c r="D18" s="37">
        <f>+SUM(D17+1)</f>
        <v>13</v>
      </c>
      <c r="E18" s="41" t="s">
        <v>37</v>
      </c>
      <c r="F18" s="39"/>
      <c r="G18" s="39"/>
      <c r="H18" s="39" t="s">
        <v>31</v>
      </c>
      <c r="I18" s="39"/>
      <c r="J18" s="4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</row>
    <row r="19" spans="1:256" ht="54" customHeight="1">
      <c r="A19" s="23"/>
      <c r="B19" s="24"/>
      <c r="C19" s="25" t="s">
        <v>38</v>
      </c>
      <c r="D19" s="26">
        <f>+SUM(D18+1)</f>
        <v>14</v>
      </c>
      <c r="E19" s="27" t="s">
        <v>39</v>
      </c>
      <c r="F19" s="28"/>
      <c r="G19" s="28"/>
      <c r="H19" s="28"/>
      <c r="I19" s="29"/>
      <c r="J19" s="30"/>
      <c r="K19" s="31"/>
      <c r="L19" s="31"/>
      <c r="M19" s="31"/>
      <c r="N19" s="31"/>
      <c r="O19" s="31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</row>
    <row r="20" spans="1:256" ht="54" customHeight="1">
      <c r="A20" s="34"/>
      <c r="B20" s="35" t="s">
        <v>18</v>
      </c>
      <c r="C20" s="63" t="s">
        <v>38</v>
      </c>
      <c r="D20" s="37">
        <f t="shared" ref="D20:D25" si="2">+SUM(D19+1)</f>
        <v>15</v>
      </c>
      <c r="E20" s="38" t="s">
        <v>40</v>
      </c>
      <c r="F20" s="64"/>
      <c r="G20" s="39"/>
      <c r="H20" s="39" t="s">
        <v>31</v>
      </c>
      <c r="I20" s="39"/>
      <c r="J20" s="40" t="s">
        <v>22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</row>
    <row r="21" spans="1:256" ht="54" customHeight="1">
      <c r="A21" s="34"/>
      <c r="B21" s="35" t="s">
        <v>18</v>
      </c>
      <c r="C21" s="36" t="s">
        <v>38</v>
      </c>
      <c r="D21" s="37">
        <f t="shared" si="2"/>
        <v>16</v>
      </c>
      <c r="E21" s="38" t="s">
        <v>41</v>
      </c>
      <c r="F21" s="39"/>
      <c r="G21" s="39"/>
      <c r="H21" s="39" t="s">
        <v>31</v>
      </c>
      <c r="I21" s="65"/>
      <c r="J21" s="40"/>
      <c r="K21" s="31"/>
      <c r="L21" s="31"/>
      <c r="M21" s="31"/>
      <c r="N21" s="31"/>
      <c r="O21" s="31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</row>
    <row r="22" spans="1:256" ht="54" customHeight="1">
      <c r="A22" s="34"/>
      <c r="B22" s="35" t="s">
        <v>18</v>
      </c>
      <c r="C22" s="36" t="s">
        <v>38</v>
      </c>
      <c r="D22" s="37">
        <f t="shared" si="2"/>
        <v>17</v>
      </c>
      <c r="E22" s="38" t="s">
        <v>42</v>
      </c>
      <c r="F22" s="39"/>
      <c r="G22" s="39"/>
      <c r="H22" s="39" t="s">
        <v>31</v>
      </c>
      <c r="I22" s="65"/>
      <c r="J22" s="40" t="s">
        <v>43</v>
      </c>
      <c r="K22" s="31"/>
      <c r="L22" s="31"/>
      <c r="M22" s="31"/>
      <c r="N22" s="31"/>
      <c r="O22" s="31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</row>
    <row r="23" spans="1:256" ht="54" customHeight="1">
      <c r="A23" s="34"/>
      <c r="B23" s="44"/>
      <c r="C23" s="36" t="s">
        <v>38</v>
      </c>
      <c r="D23" s="37">
        <f t="shared" si="2"/>
        <v>18</v>
      </c>
      <c r="E23" s="38" t="s">
        <v>44</v>
      </c>
      <c r="F23" s="39"/>
      <c r="G23" s="39"/>
      <c r="H23" s="39" t="s">
        <v>31</v>
      </c>
      <c r="I23" s="65"/>
      <c r="J23" s="40" t="s">
        <v>45</v>
      </c>
      <c r="K23" s="31"/>
      <c r="L23" s="31"/>
      <c r="M23" s="31"/>
      <c r="N23" s="31"/>
      <c r="O23" s="31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</row>
    <row r="24" spans="1:256" ht="145.9" customHeight="1">
      <c r="A24" s="34"/>
      <c r="B24" s="35" t="s">
        <v>18</v>
      </c>
      <c r="C24" s="36" t="s">
        <v>38</v>
      </c>
      <c r="D24" s="37">
        <f t="shared" si="2"/>
        <v>19</v>
      </c>
      <c r="E24" s="38" t="s">
        <v>46</v>
      </c>
      <c r="F24" s="39"/>
      <c r="G24" s="39"/>
      <c r="H24" s="39" t="s">
        <v>31</v>
      </c>
      <c r="I24" s="65"/>
      <c r="J24" s="66" t="s">
        <v>47</v>
      </c>
      <c r="K24" s="31"/>
      <c r="L24" s="31"/>
      <c r="M24" s="31"/>
      <c r="N24" s="31"/>
      <c r="O24" s="31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  <c r="IG24" s="32"/>
      <c r="IH24" s="32"/>
      <c r="II24" s="32"/>
      <c r="IJ24" s="32"/>
      <c r="IK24" s="32"/>
      <c r="IL24" s="32"/>
      <c r="IM24" s="32"/>
      <c r="IN24" s="32"/>
      <c r="IO24" s="32"/>
      <c r="IP24" s="32"/>
      <c r="IQ24" s="32"/>
      <c r="IR24" s="32"/>
      <c r="IS24" s="32"/>
      <c r="IT24" s="32"/>
      <c r="IU24" s="32"/>
      <c r="IV24" s="32"/>
    </row>
    <row r="25" spans="1:256" ht="226.15" customHeight="1">
      <c r="A25" s="34"/>
      <c r="B25" s="35" t="s">
        <v>18</v>
      </c>
      <c r="C25" s="36" t="s">
        <v>38</v>
      </c>
      <c r="D25" s="37">
        <f t="shared" si="2"/>
        <v>20</v>
      </c>
      <c r="E25" s="38" t="s">
        <v>48</v>
      </c>
      <c r="F25" s="39"/>
      <c r="G25" s="39"/>
      <c r="H25" s="39" t="s">
        <v>31</v>
      </c>
      <c r="I25" s="65"/>
      <c r="J25" s="40"/>
      <c r="K25" s="31"/>
      <c r="L25" s="31"/>
      <c r="M25" s="31"/>
      <c r="N25" s="31"/>
      <c r="O25" s="31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  <c r="IG25" s="32"/>
      <c r="IH25" s="32"/>
      <c r="II25" s="32"/>
      <c r="IJ25" s="32"/>
      <c r="IK25" s="32"/>
      <c r="IL25" s="32"/>
      <c r="IM25" s="32"/>
      <c r="IN25" s="32"/>
      <c r="IO25" s="32"/>
      <c r="IP25" s="32"/>
      <c r="IQ25" s="32"/>
      <c r="IR25" s="32"/>
      <c r="IS25" s="32"/>
      <c r="IT25" s="32"/>
      <c r="IU25" s="32"/>
      <c r="IV25" s="32"/>
    </row>
    <row r="26" spans="1:256" ht="228.4" customHeight="1">
      <c r="A26" s="34"/>
      <c r="B26" s="35"/>
      <c r="C26" s="36" t="s">
        <v>38</v>
      </c>
      <c r="D26" s="37">
        <f t="shared" ref="D26:D102" si="3">SUM(D25+1)</f>
        <v>21</v>
      </c>
      <c r="E26" s="38" t="s">
        <v>48</v>
      </c>
      <c r="F26" s="39"/>
      <c r="G26" s="39"/>
      <c r="H26" s="39" t="s">
        <v>31</v>
      </c>
      <c r="I26" s="65"/>
      <c r="J26" s="40"/>
      <c r="K26" s="31"/>
      <c r="L26" s="31"/>
      <c r="M26" s="31"/>
      <c r="N26" s="31"/>
      <c r="O26" s="31"/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</row>
    <row r="27" spans="1:256" ht="211.9" customHeight="1">
      <c r="A27" s="34"/>
      <c r="B27" s="35"/>
      <c r="C27" s="36" t="s">
        <v>38</v>
      </c>
      <c r="D27" s="37">
        <f t="shared" si="3"/>
        <v>22</v>
      </c>
      <c r="E27" s="38"/>
      <c r="F27" s="39"/>
      <c r="G27" s="39"/>
      <c r="H27" s="39" t="s">
        <v>31</v>
      </c>
      <c r="I27" s="65"/>
      <c r="J27" s="40"/>
      <c r="K27" s="31"/>
      <c r="L27" s="31"/>
      <c r="M27" s="31"/>
      <c r="N27" s="31"/>
      <c r="O27" s="31"/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  <c r="IG27" s="32"/>
      <c r="IH27" s="32"/>
      <c r="II27" s="32"/>
      <c r="IJ27" s="32"/>
      <c r="IK27" s="32"/>
      <c r="IL27" s="32"/>
      <c r="IM27" s="32"/>
      <c r="IN27" s="32"/>
      <c r="IO27" s="32"/>
      <c r="IP27" s="32"/>
      <c r="IQ27" s="32"/>
      <c r="IR27" s="32"/>
      <c r="IS27" s="32"/>
      <c r="IT27" s="32"/>
      <c r="IU27" s="32"/>
      <c r="IV27" s="32"/>
    </row>
    <row r="28" spans="1:256" ht="68.650000000000006" customHeight="1">
      <c r="A28" s="34"/>
      <c r="B28" s="35" t="s">
        <v>18</v>
      </c>
      <c r="C28" s="36" t="s">
        <v>38</v>
      </c>
      <c r="D28" s="37">
        <f t="shared" si="3"/>
        <v>23</v>
      </c>
      <c r="E28" s="38" t="s">
        <v>49</v>
      </c>
      <c r="F28" s="39"/>
      <c r="G28" s="39"/>
      <c r="H28" s="39" t="s">
        <v>31</v>
      </c>
      <c r="I28" s="65"/>
      <c r="J28" s="40"/>
      <c r="K28" s="31"/>
      <c r="L28" s="31"/>
      <c r="M28" s="31"/>
      <c r="N28" s="31"/>
      <c r="O28" s="31"/>
      <c r="P28" s="31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  <c r="IG28" s="32"/>
      <c r="IH28" s="32"/>
      <c r="II28" s="32"/>
      <c r="IJ28" s="32"/>
      <c r="IK28" s="32"/>
      <c r="IL28" s="32"/>
      <c r="IM28" s="32"/>
      <c r="IN28" s="32"/>
      <c r="IO28" s="32"/>
      <c r="IP28" s="32"/>
      <c r="IQ28" s="32"/>
      <c r="IR28" s="32"/>
      <c r="IS28" s="32"/>
      <c r="IT28" s="32"/>
      <c r="IU28" s="32"/>
      <c r="IV28" s="32"/>
    </row>
    <row r="29" spans="1:256" ht="207.4" customHeight="1">
      <c r="A29" s="34"/>
      <c r="B29" s="35" t="s">
        <v>18</v>
      </c>
      <c r="C29" s="36" t="s">
        <v>38</v>
      </c>
      <c r="D29" s="37">
        <f t="shared" si="3"/>
        <v>24</v>
      </c>
      <c r="E29" s="38"/>
      <c r="F29" s="39"/>
      <c r="G29" s="39"/>
      <c r="H29" s="39" t="s">
        <v>31</v>
      </c>
      <c r="I29" s="65"/>
      <c r="J29" s="40"/>
      <c r="K29" s="31"/>
      <c r="L29" s="31"/>
      <c r="M29" s="31"/>
      <c r="N29" s="31"/>
      <c r="O29" s="31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/>
      <c r="IM29" s="32"/>
      <c r="IN29" s="32"/>
      <c r="IO29" s="32"/>
      <c r="IP29" s="32"/>
      <c r="IQ29" s="32"/>
      <c r="IR29" s="32"/>
      <c r="IS29" s="32"/>
      <c r="IT29" s="32"/>
      <c r="IU29" s="32"/>
      <c r="IV29" s="32"/>
    </row>
    <row r="30" spans="1:256" ht="211.7" customHeight="1">
      <c r="A30" s="34"/>
      <c r="B30" s="35"/>
      <c r="C30" s="36" t="s">
        <v>38</v>
      </c>
      <c r="D30" s="37">
        <f t="shared" si="3"/>
        <v>25</v>
      </c>
      <c r="E30" s="38"/>
      <c r="F30" s="39"/>
      <c r="G30" s="39"/>
      <c r="H30" s="39" t="s">
        <v>31</v>
      </c>
      <c r="I30" s="65"/>
      <c r="J30" s="40"/>
      <c r="K30" s="31"/>
      <c r="L30" s="31"/>
      <c r="M30" s="31"/>
      <c r="N30" s="31"/>
      <c r="O30" s="31"/>
      <c r="P30" s="31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  <c r="IG30" s="32"/>
      <c r="IH30" s="3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</row>
    <row r="31" spans="1:256" ht="69" customHeight="1">
      <c r="A31" s="34"/>
      <c r="B31" s="35" t="s">
        <v>18</v>
      </c>
      <c r="C31" s="36" t="s">
        <v>38</v>
      </c>
      <c r="D31" s="37">
        <f t="shared" si="3"/>
        <v>26</v>
      </c>
      <c r="E31" s="67" t="s">
        <v>50</v>
      </c>
      <c r="F31" s="39"/>
      <c r="G31" s="39" t="s">
        <v>51</v>
      </c>
      <c r="H31" s="39" t="s">
        <v>31</v>
      </c>
      <c r="I31" s="65"/>
      <c r="J31" s="40"/>
      <c r="K31" s="31"/>
      <c r="L31" s="31"/>
      <c r="M31" s="31"/>
      <c r="N31" s="31"/>
      <c r="O31" s="31"/>
      <c r="P31" s="31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</row>
    <row r="32" spans="1:256" ht="54" customHeight="1">
      <c r="A32" s="34"/>
      <c r="B32" s="35"/>
      <c r="C32" s="36" t="s">
        <v>38</v>
      </c>
      <c r="D32" s="37">
        <f t="shared" si="3"/>
        <v>27</v>
      </c>
      <c r="E32" s="38" t="s">
        <v>52</v>
      </c>
      <c r="F32" s="39"/>
      <c r="G32" s="39"/>
      <c r="H32" s="39" t="s">
        <v>31</v>
      </c>
      <c r="I32" s="65"/>
      <c r="J32" s="40"/>
      <c r="K32" s="31"/>
      <c r="L32" s="31"/>
      <c r="M32" s="31"/>
      <c r="N32" s="31"/>
      <c r="O32" s="31"/>
      <c r="P32" s="31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</row>
    <row r="33" spans="1:256" ht="329.45" customHeight="1">
      <c r="A33" s="34"/>
      <c r="B33" s="35" t="s">
        <v>18</v>
      </c>
      <c r="C33" s="36" t="s">
        <v>38</v>
      </c>
      <c r="D33" s="37">
        <f t="shared" si="3"/>
        <v>28</v>
      </c>
      <c r="E33" s="38"/>
      <c r="F33" s="39"/>
      <c r="G33" s="39"/>
      <c r="H33" s="39" t="s">
        <v>31</v>
      </c>
      <c r="I33" s="65"/>
      <c r="J33" s="40"/>
      <c r="K33" s="31"/>
      <c r="L33" s="31"/>
      <c r="M33" s="31"/>
      <c r="N33" s="31"/>
      <c r="O33" s="31"/>
      <c r="P33" s="31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</row>
    <row r="34" spans="1:256" ht="271.14999999999998" customHeight="1">
      <c r="A34" s="34"/>
      <c r="B34" s="35"/>
      <c r="C34" s="36" t="s">
        <v>38</v>
      </c>
      <c r="D34" s="37">
        <f t="shared" si="3"/>
        <v>29</v>
      </c>
      <c r="E34" s="38"/>
      <c r="F34" s="39"/>
      <c r="G34" s="39"/>
      <c r="H34" s="39" t="s">
        <v>31</v>
      </c>
      <c r="I34" s="65"/>
      <c r="J34" s="40"/>
      <c r="K34" s="31"/>
      <c r="L34" s="31"/>
      <c r="M34" s="31"/>
      <c r="N34" s="31"/>
      <c r="O34" s="31"/>
      <c r="P34" s="31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  <c r="IG34" s="32"/>
      <c r="IH34" s="32"/>
      <c r="II34" s="32"/>
      <c r="IJ34" s="32"/>
      <c r="IK34" s="32"/>
      <c r="IL34" s="32"/>
      <c r="IM34" s="32"/>
      <c r="IN34" s="32"/>
      <c r="IO34" s="32"/>
      <c r="IP34" s="32"/>
      <c r="IQ34" s="32"/>
      <c r="IR34" s="32"/>
      <c r="IS34" s="32"/>
      <c r="IT34" s="32"/>
      <c r="IU34" s="32"/>
      <c r="IV34" s="32"/>
    </row>
    <row r="35" spans="1:256" ht="409.15" customHeight="1">
      <c r="A35" s="34">
        <v>0.28611111111111109</v>
      </c>
      <c r="B35" s="35"/>
      <c r="C35" s="36" t="s">
        <v>38</v>
      </c>
      <c r="D35" s="37">
        <f t="shared" si="3"/>
        <v>30</v>
      </c>
      <c r="E35" s="38"/>
      <c r="F35" s="39"/>
      <c r="G35" s="39"/>
      <c r="H35" s="39" t="s">
        <v>31</v>
      </c>
      <c r="I35" s="65"/>
      <c r="J35" s="40"/>
      <c r="K35" s="31"/>
      <c r="L35" s="31"/>
      <c r="M35" s="31"/>
      <c r="N35" s="31"/>
      <c r="O35" s="31"/>
      <c r="P35" s="31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  <c r="IG35" s="32"/>
      <c r="IH35" s="32"/>
      <c r="II35" s="32"/>
      <c r="IJ35" s="32"/>
      <c r="IK35" s="32"/>
      <c r="IL35" s="32"/>
      <c r="IM35" s="32"/>
      <c r="IN35" s="32"/>
      <c r="IO35" s="32"/>
      <c r="IP35" s="32"/>
      <c r="IQ35" s="32"/>
      <c r="IR35" s="32"/>
      <c r="IS35" s="32"/>
      <c r="IT35" s="32"/>
      <c r="IU35" s="32"/>
      <c r="IV35" s="32"/>
    </row>
    <row r="36" spans="1:256" ht="281.64999999999998" customHeight="1">
      <c r="A36" s="34"/>
      <c r="B36" s="35"/>
      <c r="C36" s="36" t="s">
        <v>38</v>
      </c>
      <c r="D36" s="37">
        <f t="shared" si="3"/>
        <v>31</v>
      </c>
      <c r="E36" s="38"/>
      <c r="F36" s="39"/>
      <c r="G36" s="39"/>
      <c r="H36" s="39" t="s">
        <v>31</v>
      </c>
      <c r="I36" s="65"/>
      <c r="J36" s="40" t="s">
        <v>53</v>
      </c>
      <c r="K36" s="31"/>
      <c r="L36" s="31"/>
      <c r="M36" s="31"/>
      <c r="N36" s="31"/>
      <c r="O36" s="31"/>
      <c r="P36" s="31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  <c r="IG36" s="32"/>
      <c r="IH36" s="32"/>
      <c r="II36" s="32"/>
      <c r="IJ36" s="32"/>
      <c r="IK36" s="32"/>
      <c r="IL36" s="32"/>
      <c r="IM36" s="32"/>
      <c r="IN36" s="32"/>
      <c r="IO36" s="32"/>
      <c r="IP36" s="32"/>
      <c r="IQ36" s="32"/>
      <c r="IR36" s="32"/>
      <c r="IS36" s="32"/>
      <c r="IT36" s="32"/>
      <c r="IU36" s="32"/>
      <c r="IV36" s="32"/>
    </row>
    <row r="37" spans="1:256" ht="228.4" customHeight="1">
      <c r="A37" s="34"/>
      <c r="B37" s="35"/>
      <c r="C37" s="36" t="s">
        <v>38</v>
      </c>
      <c r="D37" s="37">
        <f t="shared" si="3"/>
        <v>32</v>
      </c>
      <c r="E37" s="38"/>
      <c r="F37" s="39"/>
      <c r="G37" s="39"/>
      <c r="H37" s="39" t="s">
        <v>31</v>
      </c>
      <c r="I37" s="65"/>
      <c r="J37" s="40" t="s">
        <v>54</v>
      </c>
      <c r="K37" s="31"/>
      <c r="L37" s="31"/>
      <c r="M37" s="31"/>
      <c r="N37" s="31"/>
      <c r="O37" s="31"/>
      <c r="P37" s="31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</row>
    <row r="38" spans="1:256" ht="106.9" customHeight="1">
      <c r="A38" s="34"/>
      <c r="B38" s="35" t="s">
        <v>18</v>
      </c>
      <c r="C38" s="36" t="s">
        <v>38</v>
      </c>
      <c r="D38" s="37">
        <f t="shared" si="3"/>
        <v>33</v>
      </c>
      <c r="E38" s="38" t="s">
        <v>55</v>
      </c>
      <c r="F38" s="39"/>
      <c r="G38" s="39"/>
      <c r="H38" s="39" t="s">
        <v>31</v>
      </c>
      <c r="I38" s="65"/>
      <c r="J38" s="40" t="s">
        <v>56</v>
      </c>
      <c r="K38" s="31"/>
      <c r="L38" s="31"/>
      <c r="M38" s="31"/>
      <c r="N38" s="31"/>
      <c r="O38" s="31"/>
      <c r="P38" s="31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/>
    </row>
    <row r="39" spans="1:256" ht="54" customHeight="1">
      <c r="A39" s="43"/>
      <c r="B39" s="35" t="s">
        <v>18</v>
      </c>
      <c r="C39" s="36" t="s">
        <v>38</v>
      </c>
      <c r="D39" s="37">
        <f t="shared" si="3"/>
        <v>34</v>
      </c>
      <c r="E39" s="38" t="s">
        <v>57</v>
      </c>
      <c r="F39" s="39"/>
      <c r="G39" s="39"/>
      <c r="H39" s="39" t="s">
        <v>31</v>
      </c>
      <c r="I39" s="65"/>
      <c r="J39" s="40" t="s">
        <v>58</v>
      </c>
      <c r="K39" s="31"/>
      <c r="L39" s="31"/>
      <c r="M39" s="31"/>
      <c r="N39" s="31"/>
      <c r="O39" s="31"/>
      <c r="P39" s="31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  <c r="IG39" s="32"/>
      <c r="IH39" s="32"/>
      <c r="II39" s="32"/>
      <c r="IJ39" s="32"/>
      <c r="IK39" s="32"/>
      <c r="IL39" s="32"/>
      <c r="IM39" s="32"/>
      <c r="IN39" s="32"/>
      <c r="IO39" s="32"/>
      <c r="IP39" s="32"/>
      <c r="IQ39" s="32"/>
      <c r="IR39" s="32"/>
      <c r="IS39" s="32"/>
      <c r="IT39" s="32"/>
      <c r="IU39" s="32"/>
      <c r="IV39" s="32"/>
    </row>
    <row r="40" spans="1:256" ht="90.6" customHeight="1">
      <c r="A40" s="68"/>
      <c r="B40" s="24" t="s">
        <v>18</v>
      </c>
      <c r="C40" s="25" t="s">
        <v>38</v>
      </c>
      <c r="D40" s="26">
        <f t="shared" si="3"/>
        <v>35</v>
      </c>
      <c r="E40" s="69" t="s">
        <v>59</v>
      </c>
      <c r="F40" s="28" t="s">
        <v>5</v>
      </c>
      <c r="G40" s="28" t="s">
        <v>51</v>
      </c>
      <c r="H40" s="28"/>
      <c r="I40" s="28"/>
      <c r="J40" s="30" t="s">
        <v>60</v>
      </c>
      <c r="K40" s="31"/>
      <c r="L40" s="31"/>
      <c r="M40" s="31"/>
      <c r="N40" s="31"/>
      <c r="O40" s="31"/>
      <c r="P40" s="31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</row>
    <row r="41" spans="1:256" ht="100.5" customHeight="1">
      <c r="A41" s="43"/>
      <c r="B41" s="35"/>
      <c r="C41" s="36" t="s">
        <v>38</v>
      </c>
      <c r="D41" s="37">
        <f t="shared" si="3"/>
        <v>36</v>
      </c>
      <c r="E41" s="60"/>
      <c r="F41" s="39"/>
      <c r="G41" s="39" t="s">
        <v>51</v>
      </c>
      <c r="H41" s="39"/>
      <c r="I41" s="39"/>
      <c r="J41" s="40"/>
      <c r="K41" s="31"/>
      <c r="L41" s="31"/>
      <c r="M41" s="31"/>
      <c r="N41" s="31"/>
      <c r="O41" s="31"/>
      <c r="P41" s="31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</row>
    <row r="42" spans="1:256" ht="54" customHeight="1">
      <c r="A42" s="43"/>
      <c r="B42" s="35" t="s">
        <v>18</v>
      </c>
      <c r="C42" s="36" t="s">
        <v>61</v>
      </c>
      <c r="D42" s="37">
        <f t="shared" si="3"/>
        <v>37</v>
      </c>
      <c r="E42" s="70" t="s">
        <v>62</v>
      </c>
      <c r="F42" s="39"/>
      <c r="G42" s="39"/>
      <c r="H42" s="39"/>
      <c r="I42" s="39"/>
      <c r="J42" s="40" t="s">
        <v>63</v>
      </c>
      <c r="K42" s="31"/>
      <c r="L42" s="31"/>
      <c r="M42" s="31"/>
      <c r="N42" s="31"/>
      <c r="O42" s="31"/>
      <c r="P42" s="31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  <c r="IG42" s="32"/>
      <c r="IH42" s="32"/>
      <c r="II42" s="32"/>
      <c r="IJ42" s="32"/>
      <c r="IK42" s="32"/>
      <c r="IL42" s="32"/>
      <c r="IM42" s="32"/>
      <c r="IN42" s="32"/>
      <c r="IO42" s="32"/>
      <c r="IP42" s="32"/>
      <c r="IQ42" s="32"/>
      <c r="IR42" s="32"/>
      <c r="IS42" s="32"/>
      <c r="IT42" s="32"/>
      <c r="IU42" s="32"/>
      <c r="IV42" s="32"/>
    </row>
    <row r="43" spans="1:256" ht="132.4" customHeight="1">
      <c r="A43" s="43"/>
      <c r="B43" s="35">
        <v>0.29583333333333334</v>
      </c>
      <c r="C43" s="36" t="s">
        <v>61</v>
      </c>
      <c r="D43" s="37">
        <f t="shared" si="3"/>
        <v>38</v>
      </c>
      <c r="E43" s="60"/>
      <c r="F43" s="39"/>
      <c r="G43" s="39"/>
      <c r="H43" s="39"/>
      <c r="I43" s="39"/>
      <c r="J43" s="71" t="s">
        <v>64</v>
      </c>
      <c r="K43" s="31"/>
      <c r="L43" s="31"/>
      <c r="M43" s="31"/>
      <c r="N43" s="31"/>
      <c r="O43" s="31"/>
      <c r="P43" s="31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/>
      <c r="IU43" s="32"/>
      <c r="IV43" s="32"/>
    </row>
    <row r="44" spans="1:256" ht="54" customHeight="1">
      <c r="A44" s="43"/>
      <c r="B44" s="35" t="s">
        <v>18</v>
      </c>
      <c r="C44" s="36" t="s">
        <v>34</v>
      </c>
      <c r="D44" s="37">
        <f t="shared" si="3"/>
        <v>39</v>
      </c>
      <c r="E44" s="38" t="s">
        <v>65</v>
      </c>
      <c r="F44" s="39"/>
      <c r="G44" s="39" t="s">
        <v>51</v>
      </c>
      <c r="H44" s="39" t="s">
        <v>31</v>
      </c>
      <c r="I44" s="39"/>
      <c r="J44" s="40"/>
      <c r="K44" s="31"/>
      <c r="L44" s="31"/>
      <c r="M44" s="31"/>
      <c r="N44" s="31"/>
      <c r="O44" s="31"/>
      <c r="P44" s="31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</row>
    <row r="45" spans="1:256">
      <c r="A45" s="72"/>
      <c r="B45" s="73"/>
      <c r="C45" s="74" t="s">
        <v>34</v>
      </c>
      <c r="D45" s="75">
        <f>SUM(D44+1)</f>
        <v>40</v>
      </c>
      <c r="E45" s="42" t="s">
        <v>66</v>
      </c>
      <c r="F45" s="76"/>
      <c r="G45" s="76"/>
      <c r="H45" s="76"/>
      <c r="I45" s="77"/>
      <c r="J45" s="78"/>
      <c r="K45" s="31"/>
      <c r="L45" s="31"/>
      <c r="M45" s="31"/>
      <c r="N45" s="31"/>
      <c r="O45" s="31"/>
      <c r="P45" s="31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  <c r="IG45" s="32"/>
      <c r="IH45" s="32"/>
      <c r="II45" s="32"/>
      <c r="IJ45" s="32"/>
      <c r="IK45" s="32"/>
      <c r="IL45" s="32"/>
      <c r="IM45" s="32"/>
      <c r="IN45" s="32"/>
      <c r="IO45" s="32"/>
      <c r="IP45" s="32"/>
      <c r="IQ45" s="32"/>
      <c r="IR45" s="32"/>
      <c r="IS45" s="32"/>
      <c r="IT45" s="32"/>
      <c r="IU45" s="32"/>
      <c r="IV45" s="32"/>
    </row>
    <row r="46" spans="1:256" ht="54" customHeight="1">
      <c r="A46" s="34" t="s">
        <v>5</v>
      </c>
      <c r="B46" s="35"/>
      <c r="C46" s="36" t="s">
        <v>34</v>
      </c>
      <c r="D46" s="37">
        <f t="shared" si="3"/>
        <v>41</v>
      </c>
      <c r="E46" s="38" t="s">
        <v>67</v>
      </c>
      <c r="F46" s="39"/>
      <c r="G46" s="39" t="s">
        <v>51</v>
      </c>
      <c r="H46" s="39"/>
      <c r="I46" s="65"/>
      <c r="J46" s="40"/>
      <c r="K46" s="31"/>
      <c r="L46" s="31"/>
      <c r="M46" s="31"/>
      <c r="N46" s="31"/>
      <c r="O46" s="31"/>
      <c r="P46" s="31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  <c r="IG46" s="32"/>
      <c r="IH46" s="32"/>
      <c r="II46" s="32"/>
      <c r="IJ46" s="32"/>
      <c r="IK46" s="32"/>
      <c r="IL46" s="32"/>
      <c r="IM46" s="32"/>
      <c r="IN46" s="32"/>
      <c r="IO46" s="32"/>
      <c r="IP46" s="32"/>
      <c r="IQ46" s="32"/>
      <c r="IR46" s="32"/>
      <c r="IS46" s="32"/>
      <c r="IT46" s="32"/>
      <c r="IU46" s="32"/>
      <c r="IV46" s="32"/>
    </row>
    <row r="47" spans="1:256" ht="54" customHeight="1">
      <c r="A47" s="79" t="s">
        <v>5</v>
      </c>
      <c r="B47" s="73" t="s">
        <v>68</v>
      </c>
      <c r="C47" s="74" t="s">
        <v>34</v>
      </c>
      <c r="D47" s="75">
        <f t="shared" si="3"/>
        <v>42</v>
      </c>
      <c r="E47" s="80" t="s">
        <v>69</v>
      </c>
      <c r="F47" s="76"/>
      <c r="G47" s="76" t="s">
        <v>51</v>
      </c>
      <c r="H47" s="76"/>
      <c r="I47" s="76"/>
      <c r="J47" s="78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</row>
    <row r="48" spans="1:256" ht="54" customHeight="1">
      <c r="A48" s="43">
        <v>0.29652777777777778</v>
      </c>
      <c r="B48" s="35" t="s">
        <v>18</v>
      </c>
      <c r="C48" s="36" t="s">
        <v>16</v>
      </c>
      <c r="D48" s="37">
        <f t="shared" si="3"/>
        <v>43</v>
      </c>
      <c r="E48" s="41" t="s">
        <v>70</v>
      </c>
      <c r="F48" s="39"/>
      <c r="G48" s="39" t="s">
        <v>51</v>
      </c>
      <c r="H48" s="39"/>
      <c r="I48" s="39"/>
      <c r="J48" s="40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</row>
    <row r="49" spans="1:256" ht="70.5" customHeight="1">
      <c r="A49" s="43"/>
      <c r="B49" s="35" t="s">
        <v>18</v>
      </c>
      <c r="C49" s="36" t="s">
        <v>16</v>
      </c>
      <c r="D49" s="37">
        <f t="shared" si="3"/>
        <v>44</v>
      </c>
      <c r="E49" s="41" t="s">
        <v>71</v>
      </c>
      <c r="F49" s="39"/>
      <c r="G49" s="39" t="s">
        <v>51</v>
      </c>
      <c r="H49" s="39"/>
      <c r="I49" s="39"/>
      <c r="J49" s="81" t="s">
        <v>72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</row>
    <row r="50" spans="1:256" ht="70.5" customHeight="1">
      <c r="A50" s="43"/>
      <c r="B50" s="35"/>
      <c r="C50" s="36" t="s">
        <v>16</v>
      </c>
      <c r="D50" s="37">
        <f t="shared" si="3"/>
        <v>45</v>
      </c>
      <c r="E50" s="41" t="s">
        <v>73</v>
      </c>
      <c r="F50" s="39"/>
      <c r="G50" s="39" t="s">
        <v>51</v>
      </c>
      <c r="H50" s="39"/>
      <c r="I50" s="39"/>
      <c r="J50" s="8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</row>
    <row r="51" spans="1:256" ht="70.5" customHeight="1">
      <c r="A51" s="82"/>
      <c r="B51" s="83"/>
      <c r="C51" s="84" t="s">
        <v>16</v>
      </c>
      <c r="D51" s="85">
        <f t="shared" si="3"/>
        <v>46</v>
      </c>
      <c r="E51" s="86" t="s">
        <v>74</v>
      </c>
      <c r="F51" s="87"/>
      <c r="G51" s="87" t="s">
        <v>51</v>
      </c>
      <c r="H51" s="87"/>
      <c r="I51" s="87"/>
      <c r="J51" s="88" t="s">
        <v>75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</row>
    <row r="52" spans="1:256" ht="409.6" customHeight="1">
      <c r="A52" s="82"/>
      <c r="B52" s="83" t="s">
        <v>18</v>
      </c>
      <c r="C52" s="84" t="s">
        <v>16</v>
      </c>
      <c r="D52" s="85">
        <f t="shared" si="3"/>
        <v>47</v>
      </c>
      <c r="E52" s="86" t="s">
        <v>76</v>
      </c>
      <c r="F52" s="87"/>
      <c r="G52" s="87" t="s">
        <v>51</v>
      </c>
      <c r="H52" s="87"/>
      <c r="I52" s="87"/>
      <c r="J52" s="89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</row>
    <row r="53" spans="1:256" ht="49.7" customHeight="1">
      <c r="A53" s="68"/>
      <c r="B53" s="24" t="s">
        <v>18</v>
      </c>
      <c r="C53" s="25" t="s">
        <v>34</v>
      </c>
      <c r="D53" s="26">
        <f>SUM(D52+1)</f>
        <v>48</v>
      </c>
      <c r="E53" s="90" t="s">
        <v>77</v>
      </c>
      <c r="F53" s="28"/>
      <c r="G53" s="28" t="s">
        <v>51</v>
      </c>
      <c r="H53" s="28"/>
      <c r="I53" s="28"/>
      <c r="J53" s="30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</row>
    <row r="54" spans="1:256" ht="60" customHeight="1">
      <c r="A54" s="43"/>
      <c r="B54" s="35" t="s">
        <v>18</v>
      </c>
      <c r="C54" s="36" t="s">
        <v>34</v>
      </c>
      <c r="D54" s="37">
        <f t="shared" si="3"/>
        <v>49</v>
      </c>
      <c r="E54" s="41" t="s">
        <v>78</v>
      </c>
      <c r="F54" s="39"/>
      <c r="G54" s="39" t="s">
        <v>51</v>
      </c>
      <c r="H54" s="39"/>
      <c r="I54" s="39"/>
      <c r="J54" s="45" t="s">
        <v>34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</row>
    <row r="55" spans="1:256" ht="60" customHeight="1">
      <c r="A55" s="43"/>
      <c r="B55" s="35" t="s">
        <v>18</v>
      </c>
      <c r="C55" s="36" t="s">
        <v>34</v>
      </c>
      <c r="D55" s="37">
        <f t="shared" si="3"/>
        <v>50</v>
      </c>
      <c r="E55" s="41" t="s">
        <v>79</v>
      </c>
      <c r="F55" s="39"/>
      <c r="G55" s="39" t="s">
        <v>51</v>
      </c>
      <c r="H55" s="39"/>
      <c r="I55" s="39"/>
      <c r="J55" s="45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</row>
    <row r="56" spans="1:256" ht="60" customHeight="1">
      <c r="A56" s="43"/>
      <c r="B56" s="44" t="s">
        <v>80</v>
      </c>
      <c r="C56" s="36" t="s">
        <v>34</v>
      </c>
      <c r="D56" s="37"/>
      <c r="E56" s="91" t="s">
        <v>81</v>
      </c>
      <c r="F56" s="39"/>
      <c r="G56" s="39"/>
      <c r="H56" s="39"/>
      <c r="I56" s="39"/>
      <c r="J56" s="45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</row>
    <row r="57" spans="1:256" ht="54" customHeight="1">
      <c r="A57" s="79"/>
      <c r="B57" s="73" t="s">
        <v>82</v>
      </c>
      <c r="C57" s="74" t="s">
        <v>34</v>
      </c>
      <c r="D57" s="75">
        <f>SUM(D55+1)</f>
        <v>51</v>
      </c>
      <c r="E57" s="80" t="s">
        <v>83</v>
      </c>
      <c r="F57" s="76"/>
      <c r="G57" s="76" t="s">
        <v>51</v>
      </c>
      <c r="H57" s="76"/>
      <c r="I57" s="77"/>
      <c r="J57" s="42" t="s">
        <v>84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</row>
    <row r="58" spans="1:256" ht="75" customHeight="1">
      <c r="A58" s="43">
        <v>0.2986111111111111</v>
      </c>
      <c r="B58" s="35"/>
      <c r="C58" s="36" t="s">
        <v>34</v>
      </c>
      <c r="D58" s="37">
        <f t="shared" si="3"/>
        <v>52</v>
      </c>
      <c r="E58" s="92" t="s">
        <v>85</v>
      </c>
      <c r="F58" s="39"/>
      <c r="G58" s="39" t="s">
        <v>51</v>
      </c>
      <c r="H58" s="39"/>
      <c r="I58" s="65"/>
      <c r="J58" s="45" t="s">
        <v>72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</row>
    <row r="59" spans="1:256" ht="204.6" customHeight="1">
      <c r="A59" s="82"/>
      <c r="B59" s="83"/>
      <c r="C59" s="84" t="s">
        <v>34</v>
      </c>
      <c r="D59" s="85">
        <f t="shared" si="3"/>
        <v>53</v>
      </c>
      <c r="E59" s="93" t="s">
        <v>86</v>
      </c>
      <c r="F59" s="87"/>
      <c r="G59" s="87" t="s">
        <v>51</v>
      </c>
      <c r="H59" s="87"/>
      <c r="I59" s="94"/>
      <c r="J59" s="95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</row>
    <row r="60" spans="1:256" ht="214.5" customHeight="1">
      <c r="A60" s="82"/>
      <c r="B60" s="83"/>
      <c r="C60" s="84" t="s">
        <v>34</v>
      </c>
      <c r="D60" s="85">
        <f t="shared" si="3"/>
        <v>54</v>
      </c>
      <c r="E60" s="93" t="s">
        <v>87</v>
      </c>
      <c r="F60" s="87"/>
      <c r="G60" s="87" t="s">
        <v>51</v>
      </c>
      <c r="H60" s="87"/>
      <c r="I60" s="94"/>
      <c r="J60" s="95" t="s">
        <v>88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</row>
    <row r="61" spans="1:256" ht="29.65" customHeight="1">
      <c r="A61" s="43"/>
      <c r="B61" s="35" t="s">
        <v>18</v>
      </c>
      <c r="C61" s="36" t="s">
        <v>34</v>
      </c>
      <c r="D61" s="37">
        <f t="shared" si="3"/>
        <v>55</v>
      </c>
      <c r="E61" s="96" t="s">
        <v>89</v>
      </c>
      <c r="F61" s="39"/>
      <c r="G61" s="39" t="s">
        <v>51</v>
      </c>
      <c r="H61" s="39"/>
      <c r="I61" s="65"/>
      <c r="J61" s="45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</row>
    <row r="62" spans="1:256" ht="58.7" customHeight="1">
      <c r="A62" s="43"/>
      <c r="B62" s="35" t="s">
        <v>18</v>
      </c>
      <c r="C62" s="36" t="s">
        <v>29</v>
      </c>
      <c r="D62" s="37">
        <f t="shared" si="3"/>
        <v>56</v>
      </c>
      <c r="E62" s="97" t="s">
        <v>90</v>
      </c>
      <c r="F62" s="39"/>
      <c r="G62" s="39" t="s">
        <v>51</v>
      </c>
      <c r="H62" s="39"/>
      <c r="I62" s="65"/>
      <c r="J62" s="45" t="s">
        <v>91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</row>
    <row r="63" spans="1:256" ht="166.9" customHeight="1">
      <c r="A63" s="43"/>
      <c r="B63" s="35"/>
      <c r="C63" s="36" t="s">
        <v>29</v>
      </c>
      <c r="D63" s="37">
        <f t="shared" si="3"/>
        <v>57</v>
      </c>
      <c r="E63" s="38"/>
      <c r="F63" s="39"/>
      <c r="G63" s="39" t="s">
        <v>51</v>
      </c>
      <c r="H63" s="39"/>
      <c r="I63" s="65"/>
      <c r="J63" s="45" t="s">
        <v>92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</row>
    <row r="64" spans="1:256" ht="197.45" customHeight="1">
      <c r="A64" s="43"/>
      <c r="B64" s="35"/>
      <c r="C64" s="36" t="s">
        <v>29</v>
      </c>
      <c r="D64" s="37">
        <f t="shared" si="3"/>
        <v>58</v>
      </c>
      <c r="E64" s="38" t="s">
        <v>93</v>
      </c>
      <c r="F64" s="39"/>
      <c r="G64" s="39" t="s">
        <v>51</v>
      </c>
      <c r="H64" s="39"/>
      <c r="I64" s="65"/>
      <c r="J64" s="45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</row>
    <row r="65" spans="1:256" ht="54" customHeight="1">
      <c r="A65" s="79"/>
      <c r="B65" s="73" t="s">
        <v>94</v>
      </c>
      <c r="C65" s="74" t="s">
        <v>16</v>
      </c>
      <c r="D65" s="75">
        <f t="shared" si="3"/>
        <v>59</v>
      </c>
      <c r="E65" s="42" t="s">
        <v>95</v>
      </c>
      <c r="F65" s="76"/>
      <c r="G65" s="76" t="s">
        <v>51</v>
      </c>
      <c r="H65" s="76"/>
      <c r="I65" s="77"/>
      <c r="J65" s="42" t="s">
        <v>96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</row>
    <row r="66" spans="1:256" ht="51.75" customHeight="1">
      <c r="A66" s="43"/>
      <c r="B66" s="35"/>
      <c r="C66" s="36" t="s">
        <v>16</v>
      </c>
      <c r="D66" s="37">
        <f t="shared" si="3"/>
        <v>60</v>
      </c>
      <c r="E66" s="38" t="s">
        <v>97</v>
      </c>
      <c r="F66" s="39"/>
      <c r="G66" s="39" t="s">
        <v>51</v>
      </c>
      <c r="H66" s="39"/>
      <c r="I66" s="65"/>
      <c r="J66" s="98" t="s">
        <v>98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</row>
    <row r="67" spans="1:256" ht="125.65" customHeight="1">
      <c r="A67" s="99"/>
      <c r="B67" s="100"/>
      <c r="C67" s="101" t="s">
        <v>16</v>
      </c>
      <c r="D67" s="102">
        <f t="shared" si="3"/>
        <v>61</v>
      </c>
      <c r="E67" s="103" t="s">
        <v>99</v>
      </c>
      <c r="F67" s="104"/>
      <c r="G67" s="104" t="s">
        <v>51</v>
      </c>
      <c r="H67" s="104"/>
      <c r="I67" s="105"/>
      <c r="J67" s="106" t="s">
        <v>100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</row>
    <row r="68" spans="1:256" ht="66" customHeight="1">
      <c r="A68" s="79"/>
      <c r="B68" s="107" t="s">
        <v>101</v>
      </c>
      <c r="C68" s="74" t="s">
        <v>16</v>
      </c>
      <c r="D68" s="75">
        <f>SUM(D67+1)</f>
        <v>62</v>
      </c>
      <c r="E68" s="42" t="s">
        <v>102</v>
      </c>
      <c r="F68" s="76"/>
      <c r="G68" s="76" t="s">
        <v>51</v>
      </c>
      <c r="H68" s="76"/>
      <c r="I68" s="77"/>
      <c r="J68" s="42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</row>
    <row r="69" spans="1:256" ht="146.44999999999999" customHeight="1">
      <c r="A69" s="43"/>
      <c r="B69" s="35" t="s">
        <v>18</v>
      </c>
      <c r="C69" s="36" t="s">
        <v>34</v>
      </c>
      <c r="D69" s="37">
        <f t="shared" ref="D69:D71" si="4">SUM(D68+1)</f>
        <v>63</v>
      </c>
      <c r="E69" s="108" t="s">
        <v>103</v>
      </c>
      <c r="F69" s="109"/>
      <c r="G69" s="110" t="s">
        <v>51</v>
      </c>
      <c r="H69" s="39"/>
      <c r="I69" s="111"/>
      <c r="J69" s="45" t="s">
        <v>104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</row>
    <row r="70" spans="1:256" ht="63.4" customHeight="1">
      <c r="A70" s="43"/>
      <c r="B70" s="35"/>
      <c r="C70" s="36" t="s">
        <v>34</v>
      </c>
      <c r="D70" s="37">
        <f t="shared" si="4"/>
        <v>64</v>
      </c>
      <c r="E70" s="38" t="s">
        <v>105</v>
      </c>
      <c r="F70" s="39"/>
      <c r="G70" s="39" t="s">
        <v>51</v>
      </c>
      <c r="H70" s="39"/>
      <c r="I70" s="65"/>
      <c r="J70" s="45" t="s">
        <v>72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</row>
    <row r="71" spans="1:256" ht="67.7" customHeight="1">
      <c r="A71" s="43">
        <v>0.30208333333333331</v>
      </c>
      <c r="B71" s="35" t="s">
        <v>18</v>
      </c>
      <c r="C71" s="36" t="s">
        <v>34</v>
      </c>
      <c r="D71" s="37">
        <f t="shared" si="4"/>
        <v>65</v>
      </c>
      <c r="E71" s="112" t="s">
        <v>106</v>
      </c>
      <c r="F71" s="39"/>
      <c r="G71" s="39" t="s">
        <v>51</v>
      </c>
      <c r="H71" s="39"/>
      <c r="I71" s="65"/>
      <c r="J71" s="45" t="s">
        <v>107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</row>
    <row r="72" spans="1:256" ht="202.15" customHeight="1">
      <c r="A72" s="43"/>
      <c r="B72" s="35" t="s">
        <v>18</v>
      </c>
      <c r="C72" s="36" t="s">
        <v>34</v>
      </c>
      <c r="D72" s="37">
        <f t="shared" si="3"/>
        <v>66</v>
      </c>
      <c r="E72" s="113"/>
      <c r="F72" s="39"/>
      <c r="G72" s="39" t="s">
        <v>51</v>
      </c>
      <c r="H72" s="39"/>
      <c r="I72" s="65"/>
      <c r="J72" s="45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</row>
    <row r="73" spans="1:256" ht="42" customHeight="1">
      <c r="A73" s="43"/>
      <c r="B73" s="35" t="s">
        <v>18</v>
      </c>
      <c r="C73" s="36" t="s">
        <v>34</v>
      </c>
      <c r="D73" s="37">
        <f t="shared" si="3"/>
        <v>67</v>
      </c>
      <c r="E73" s="38" t="s">
        <v>108</v>
      </c>
      <c r="F73" s="39"/>
      <c r="G73" s="39" t="s">
        <v>51</v>
      </c>
      <c r="H73" s="39"/>
      <c r="I73" s="65"/>
      <c r="J73" s="45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</row>
    <row r="74" spans="1:256" ht="267.39999999999998" customHeight="1">
      <c r="A74" s="43"/>
      <c r="B74" s="35" t="s">
        <v>18</v>
      </c>
      <c r="C74" s="36" t="s">
        <v>34</v>
      </c>
      <c r="D74" s="37">
        <f t="shared" si="3"/>
        <v>68</v>
      </c>
      <c r="E74" s="114"/>
      <c r="F74" s="39"/>
      <c r="G74" s="39"/>
      <c r="H74" s="39" t="s">
        <v>31</v>
      </c>
      <c r="I74" s="65"/>
      <c r="J74" s="71" t="s">
        <v>109</v>
      </c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</row>
    <row r="75" spans="1:256" ht="284.45" customHeight="1">
      <c r="A75" s="43"/>
      <c r="B75" s="35"/>
      <c r="C75" s="36" t="s">
        <v>34</v>
      </c>
      <c r="D75" s="37">
        <f t="shared" si="3"/>
        <v>69</v>
      </c>
      <c r="E75" s="114"/>
      <c r="F75" s="39"/>
      <c r="G75" s="39" t="s">
        <v>51</v>
      </c>
      <c r="H75" s="39"/>
      <c r="I75" s="65"/>
      <c r="J75" s="71" t="s">
        <v>110</v>
      </c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</row>
    <row r="76" spans="1:256" ht="35.65" customHeight="1">
      <c r="A76" s="43"/>
      <c r="B76" s="35"/>
      <c r="C76" s="36" t="s">
        <v>38</v>
      </c>
      <c r="D76" s="37">
        <f t="shared" si="3"/>
        <v>70</v>
      </c>
      <c r="E76" s="114" t="s">
        <v>111</v>
      </c>
      <c r="F76" s="39"/>
      <c r="G76" s="39" t="s">
        <v>51</v>
      </c>
      <c r="H76" s="39"/>
      <c r="I76" s="65"/>
      <c r="J76" s="62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</row>
    <row r="77" spans="1:256" ht="35.65" customHeight="1">
      <c r="A77" s="43"/>
      <c r="B77" s="35"/>
      <c r="C77" s="36" t="s">
        <v>38</v>
      </c>
      <c r="D77" s="37">
        <f t="shared" si="3"/>
        <v>71</v>
      </c>
      <c r="E77" s="115" t="s">
        <v>112</v>
      </c>
      <c r="F77" s="39"/>
      <c r="G77" s="39" t="s">
        <v>51</v>
      </c>
      <c r="H77" s="39"/>
      <c r="I77" s="65"/>
      <c r="J77" s="62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</row>
    <row r="78" spans="1:256" ht="37.15" customHeight="1">
      <c r="A78" s="43"/>
      <c r="B78" s="35" t="s">
        <v>18</v>
      </c>
      <c r="C78" s="36" t="s">
        <v>38</v>
      </c>
      <c r="D78" s="37">
        <f t="shared" si="3"/>
        <v>72</v>
      </c>
      <c r="E78" s="116" t="s">
        <v>113</v>
      </c>
      <c r="F78" s="39"/>
      <c r="G78" s="39" t="s">
        <v>51</v>
      </c>
      <c r="H78" s="39"/>
      <c r="I78" s="65"/>
      <c r="J78" s="62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</row>
    <row r="79" spans="1:256" ht="27.4" customHeight="1">
      <c r="A79" s="43"/>
      <c r="B79" s="35" t="s">
        <v>18</v>
      </c>
      <c r="C79" s="36" t="s">
        <v>38</v>
      </c>
      <c r="D79" s="37">
        <f t="shared" si="3"/>
        <v>73</v>
      </c>
      <c r="E79" s="38" t="s">
        <v>114</v>
      </c>
      <c r="F79" s="39"/>
      <c r="G79" s="39" t="s">
        <v>51</v>
      </c>
      <c r="H79" s="39"/>
      <c r="I79" s="65"/>
      <c r="J79" s="40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</row>
    <row r="80" spans="1:256" ht="27.4" customHeight="1">
      <c r="A80" s="43"/>
      <c r="B80" s="35" t="s">
        <v>18</v>
      </c>
      <c r="C80" s="36" t="s">
        <v>38</v>
      </c>
      <c r="D80" s="37">
        <f t="shared" si="3"/>
        <v>74</v>
      </c>
      <c r="E80" s="38" t="s">
        <v>115</v>
      </c>
      <c r="F80" s="39"/>
      <c r="G80" s="39" t="s">
        <v>51</v>
      </c>
      <c r="H80" s="39"/>
      <c r="I80" s="65"/>
      <c r="J80" s="40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</row>
    <row r="81" spans="1:256" ht="27.4" customHeight="1">
      <c r="A81" s="43"/>
      <c r="B81" s="35" t="s">
        <v>18</v>
      </c>
      <c r="C81" s="36" t="s">
        <v>38</v>
      </c>
      <c r="D81" s="37">
        <f t="shared" si="3"/>
        <v>75</v>
      </c>
      <c r="E81" s="38" t="s">
        <v>116</v>
      </c>
      <c r="F81" s="39"/>
      <c r="G81" s="39" t="s">
        <v>51</v>
      </c>
      <c r="H81" s="39"/>
      <c r="I81" s="65"/>
      <c r="J81" s="40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</row>
    <row r="82" spans="1:256" ht="27.4" customHeight="1">
      <c r="A82" s="43"/>
      <c r="B82" s="35" t="s">
        <v>18</v>
      </c>
      <c r="C82" s="36" t="s">
        <v>38</v>
      </c>
      <c r="D82" s="37">
        <f t="shared" si="3"/>
        <v>76</v>
      </c>
      <c r="E82" s="38" t="s">
        <v>117</v>
      </c>
      <c r="F82" s="39"/>
      <c r="G82" s="39" t="s">
        <v>51</v>
      </c>
      <c r="H82" s="39"/>
      <c r="I82" s="65"/>
      <c r="J82" s="40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</row>
    <row r="83" spans="1:256" ht="27.4" customHeight="1">
      <c r="A83" s="43"/>
      <c r="B83" s="35" t="s">
        <v>18</v>
      </c>
      <c r="C83" s="36" t="s">
        <v>38</v>
      </c>
      <c r="D83" s="37">
        <f t="shared" si="3"/>
        <v>77</v>
      </c>
      <c r="E83" s="38" t="s">
        <v>118</v>
      </c>
      <c r="F83" s="39"/>
      <c r="G83" s="39" t="s">
        <v>51</v>
      </c>
      <c r="H83" s="39"/>
      <c r="I83" s="65"/>
      <c r="J83" s="40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</row>
    <row r="84" spans="1:256" ht="27.4" customHeight="1">
      <c r="A84" s="43"/>
      <c r="B84" s="35" t="s">
        <v>18</v>
      </c>
      <c r="C84" s="36" t="s">
        <v>38</v>
      </c>
      <c r="D84" s="37">
        <f t="shared" si="3"/>
        <v>78</v>
      </c>
      <c r="E84" s="38" t="s">
        <v>119</v>
      </c>
      <c r="F84" s="39"/>
      <c r="G84" s="39" t="s">
        <v>51</v>
      </c>
      <c r="H84" s="39"/>
      <c r="I84" s="65"/>
      <c r="J84" s="40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</row>
    <row r="85" spans="1:256" ht="105" customHeight="1">
      <c r="A85" s="43"/>
      <c r="B85" s="35" t="s">
        <v>18</v>
      </c>
      <c r="C85" s="36" t="s">
        <v>38</v>
      </c>
      <c r="D85" s="37">
        <f t="shared" si="3"/>
        <v>79</v>
      </c>
      <c r="E85" s="38" t="s">
        <v>120</v>
      </c>
      <c r="F85" s="39"/>
      <c r="G85" s="39" t="s">
        <v>51</v>
      </c>
      <c r="H85" s="39"/>
      <c r="I85" s="65"/>
      <c r="J85" s="40" t="s">
        <v>121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</row>
    <row r="86" spans="1:256" ht="40.700000000000003" customHeight="1">
      <c r="A86" s="43"/>
      <c r="B86" s="35" t="s">
        <v>18</v>
      </c>
      <c r="C86" s="36" t="s">
        <v>38</v>
      </c>
      <c r="D86" s="37">
        <f t="shared" si="3"/>
        <v>80</v>
      </c>
      <c r="E86" s="38" t="s">
        <v>118</v>
      </c>
      <c r="F86" s="39"/>
      <c r="G86" s="39" t="s">
        <v>51</v>
      </c>
      <c r="H86" s="39"/>
      <c r="I86" s="65"/>
      <c r="J86" s="40" t="s">
        <v>122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</row>
    <row r="87" spans="1:256" ht="36" customHeight="1">
      <c r="A87" s="43"/>
      <c r="B87" s="35" t="s">
        <v>18</v>
      </c>
      <c r="C87" s="36" t="s">
        <v>123</v>
      </c>
      <c r="D87" s="37">
        <f t="shared" si="3"/>
        <v>81</v>
      </c>
      <c r="E87" s="116" t="s">
        <v>124</v>
      </c>
      <c r="F87" s="39"/>
      <c r="G87" s="39" t="s">
        <v>51</v>
      </c>
      <c r="H87" s="39"/>
      <c r="I87" s="65"/>
      <c r="J87" s="40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</row>
    <row r="88" spans="1:256" ht="85.15" customHeight="1">
      <c r="A88" s="43"/>
      <c r="B88" s="35" t="s">
        <v>18</v>
      </c>
      <c r="C88" s="36" t="s">
        <v>123</v>
      </c>
      <c r="D88" s="37">
        <f t="shared" si="3"/>
        <v>82</v>
      </c>
      <c r="E88" s="38" t="s">
        <v>125</v>
      </c>
      <c r="F88" s="39"/>
      <c r="G88" s="39" t="s">
        <v>51</v>
      </c>
      <c r="H88" s="39"/>
      <c r="I88" s="65"/>
      <c r="J88" s="40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</row>
    <row r="89" spans="1:256" ht="155.65" customHeight="1">
      <c r="A89" s="82"/>
      <c r="B89" s="83"/>
      <c r="C89" s="84" t="s">
        <v>123</v>
      </c>
      <c r="D89" s="85">
        <f t="shared" si="3"/>
        <v>83</v>
      </c>
      <c r="E89" s="117" t="s">
        <v>126</v>
      </c>
      <c r="F89" s="87"/>
      <c r="G89" s="87" t="s">
        <v>51</v>
      </c>
      <c r="H89" s="87"/>
      <c r="I89" s="94"/>
      <c r="J89" s="118" t="s">
        <v>127</v>
      </c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</row>
    <row r="90" spans="1:256" ht="62.25" customHeight="1">
      <c r="A90" s="43"/>
      <c r="B90" s="35" t="s">
        <v>18</v>
      </c>
      <c r="C90" s="36" t="s">
        <v>123</v>
      </c>
      <c r="D90" s="37">
        <f t="shared" si="3"/>
        <v>84</v>
      </c>
      <c r="E90" s="38" t="s">
        <v>128</v>
      </c>
      <c r="F90" s="39"/>
      <c r="G90" s="39" t="s">
        <v>51</v>
      </c>
      <c r="H90" s="39"/>
      <c r="I90" s="65"/>
      <c r="J90" s="7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</row>
    <row r="91" spans="1:256" ht="52.35" customHeight="1">
      <c r="A91" s="43"/>
      <c r="B91" s="35"/>
      <c r="C91" s="36" t="s">
        <v>123</v>
      </c>
      <c r="D91" s="37">
        <f t="shared" si="3"/>
        <v>85</v>
      </c>
      <c r="E91" s="38" t="s">
        <v>129</v>
      </c>
      <c r="F91" s="39"/>
      <c r="G91" s="39" t="s">
        <v>51</v>
      </c>
      <c r="H91" s="39"/>
      <c r="I91" s="65"/>
      <c r="J91" s="71" t="s">
        <v>130</v>
      </c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</row>
    <row r="92" spans="1:256" ht="55.15" customHeight="1">
      <c r="A92" s="79"/>
      <c r="B92" s="73" t="s">
        <v>131</v>
      </c>
      <c r="C92" s="74" t="s">
        <v>29</v>
      </c>
      <c r="D92" s="75">
        <f t="shared" si="3"/>
        <v>86</v>
      </c>
      <c r="E92" s="80" t="s">
        <v>132</v>
      </c>
      <c r="F92" s="76"/>
      <c r="G92" s="76" t="s">
        <v>51</v>
      </c>
      <c r="H92" s="76"/>
      <c r="I92" s="77"/>
      <c r="J92" s="78" t="s">
        <v>133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</row>
    <row r="93" spans="1:256" ht="55.15" customHeight="1">
      <c r="A93" s="43"/>
      <c r="B93" s="35"/>
      <c r="C93" s="36" t="s">
        <v>29</v>
      </c>
      <c r="D93" s="37">
        <f t="shared" si="3"/>
        <v>87</v>
      </c>
      <c r="E93" s="119" t="s">
        <v>134</v>
      </c>
      <c r="F93" s="39"/>
      <c r="G93" s="39" t="s">
        <v>51</v>
      </c>
      <c r="H93" s="39"/>
      <c r="I93" s="65"/>
      <c r="J93" s="40" t="s">
        <v>135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</row>
    <row r="94" spans="1:256" ht="55.15" customHeight="1">
      <c r="A94" s="43"/>
      <c r="B94" s="35" t="s">
        <v>18</v>
      </c>
      <c r="C94" s="120" t="s">
        <v>136</v>
      </c>
      <c r="D94" s="37">
        <f t="shared" si="3"/>
        <v>88</v>
      </c>
      <c r="E94" s="121" t="s">
        <v>137</v>
      </c>
      <c r="F94" s="39"/>
      <c r="G94" s="39" t="s">
        <v>51</v>
      </c>
      <c r="H94" s="39"/>
      <c r="I94" s="65"/>
      <c r="J94" s="45" t="s">
        <v>138</v>
      </c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</row>
    <row r="95" spans="1:256" ht="55.15" customHeight="1">
      <c r="A95" s="43">
        <v>0.30555555555555558</v>
      </c>
      <c r="B95" s="35" t="s">
        <v>18</v>
      </c>
      <c r="C95" s="36" t="s">
        <v>29</v>
      </c>
      <c r="D95" s="37">
        <f t="shared" si="3"/>
        <v>89</v>
      </c>
      <c r="E95" s="122" t="s">
        <v>139</v>
      </c>
      <c r="F95" s="39"/>
      <c r="G95" s="39" t="s">
        <v>51</v>
      </c>
      <c r="H95" s="39"/>
      <c r="I95" s="65"/>
      <c r="J95" s="40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</row>
    <row r="96" spans="1:256" ht="55.15" customHeight="1">
      <c r="A96" s="43"/>
      <c r="B96" s="35"/>
      <c r="C96" s="36" t="s">
        <v>140</v>
      </c>
      <c r="D96" s="37">
        <f t="shared" si="3"/>
        <v>90</v>
      </c>
      <c r="E96" s="122" t="s">
        <v>141</v>
      </c>
      <c r="F96" s="39"/>
      <c r="G96" s="39" t="s">
        <v>51</v>
      </c>
      <c r="H96" s="39"/>
      <c r="I96" s="65"/>
      <c r="J96" s="40" t="s">
        <v>142</v>
      </c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</row>
    <row r="97" spans="1:256" ht="55.15" customHeight="1">
      <c r="A97" s="43"/>
      <c r="B97" s="35" t="s">
        <v>18</v>
      </c>
      <c r="C97" s="36" t="s">
        <v>29</v>
      </c>
      <c r="D97" s="37">
        <f t="shared" si="3"/>
        <v>91</v>
      </c>
      <c r="E97" s="119" t="s">
        <v>143</v>
      </c>
      <c r="F97" s="39"/>
      <c r="G97" s="39" t="s">
        <v>51</v>
      </c>
      <c r="H97" s="39"/>
      <c r="I97" s="65"/>
      <c r="J97" s="40" t="s">
        <v>144</v>
      </c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</row>
    <row r="98" spans="1:256" ht="72" customHeight="1">
      <c r="A98" s="79"/>
      <c r="B98" s="73" t="s">
        <v>145</v>
      </c>
      <c r="C98" s="74"/>
      <c r="D98" s="75">
        <f t="shared" si="3"/>
        <v>92</v>
      </c>
      <c r="E98" s="80" t="s">
        <v>146</v>
      </c>
      <c r="F98" s="76"/>
      <c r="G98" s="76" t="s">
        <v>51</v>
      </c>
      <c r="H98" s="76" t="s">
        <v>147</v>
      </c>
      <c r="I98" s="77"/>
      <c r="J98" s="123" t="s">
        <v>148</v>
      </c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</row>
    <row r="99" spans="1:256" ht="32.450000000000003" customHeight="1">
      <c r="A99" s="34"/>
      <c r="B99" s="35" t="s">
        <v>149</v>
      </c>
      <c r="C99" s="36" t="s">
        <v>29</v>
      </c>
      <c r="D99" s="37">
        <f t="shared" si="3"/>
        <v>93</v>
      </c>
      <c r="E99" s="124" t="s">
        <v>150</v>
      </c>
      <c r="F99" s="39"/>
      <c r="G99" s="39" t="s">
        <v>51</v>
      </c>
      <c r="H99" s="39"/>
      <c r="I99" s="65"/>
      <c r="J99" s="125" t="s">
        <v>151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</row>
    <row r="100" spans="1:256" ht="55.15" customHeight="1">
      <c r="A100" s="126"/>
      <c r="B100" s="127" t="s">
        <v>18</v>
      </c>
      <c r="C100" s="128" t="s">
        <v>29</v>
      </c>
      <c r="D100" s="129">
        <f t="shared" si="3"/>
        <v>94</v>
      </c>
      <c r="E100" s="130" t="s">
        <v>152</v>
      </c>
      <c r="F100" s="131"/>
      <c r="G100" s="131" t="s">
        <v>51</v>
      </c>
      <c r="H100" s="131"/>
      <c r="I100" s="132"/>
      <c r="J100" s="133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</row>
    <row r="101" spans="1:256" ht="33" customHeight="1">
      <c r="A101" s="134"/>
      <c r="B101" s="35" t="s">
        <v>18</v>
      </c>
      <c r="C101" s="36" t="s">
        <v>29</v>
      </c>
      <c r="D101" s="37">
        <f>SUM(D99+1)</f>
        <v>94</v>
      </c>
      <c r="E101" s="135" t="s">
        <v>153</v>
      </c>
      <c r="F101" s="136"/>
      <c r="G101" s="39" t="s">
        <v>51</v>
      </c>
      <c r="H101" s="39"/>
      <c r="I101" s="65"/>
      <c r="J101" s="137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</row>
    <row r="102" spans="1:256" ht="37.5" customHeight="1">
      <c r="A102" s="134"/>
      <c r="B102" s="35" t="s">
        <v>18</v>
      </c>
      <c r="C102" s="36" t="s">
        <v>29</v>
      </c>
      <c r="D102" s="37">
        <f t="shared" si="3"/>
        <v>95</v>
      </c>
      <c r="E102" s="135" t="s">
        <v>154</v>
      </c>
      <c r="F102" s="136"/>
      <c r="G102" s="39" t="s">
        <v>51</v>
      </c>
      <c r="H102" s="39"/>
      <c r="I102" s="65"/>
      <c r="J102" s="137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</row>
    <row r="103" spans="1:256" ht="43.5" customHeight="1">
      <c r="A103" s="235"/>
      <c r="B103" s="236"/>
      <c r="C103" s="237" t="s">
        <v>29</v>
      </c>
      <c r="D103" s="238">
        <f t="shared" ref="D103:D141" si="5">SUM(D102+1)</f>
        <v>96</v>
      </c>
      <c r="E103" s="239" t="s">
        <v>155</v>
      </c>
      <c r="F103" s="240"/>
      <c r="G103" s="241" t="s">
        <v>156</v>
      </c>
      <c r="H103" s="242"/>
      <c r="I103" s="243"/>
      <c r="J103" s="244" t="s">
        <v>157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</row>
    <row r="104" spans="1:256" s="149" customFormat="1" ht="98.85" customHeight="1">
      <c r="A104" s="139"/>
      <c r="B104" s="140"/>
      <c r="C104" s="141" t="s">
        <v>29</v>
      </c>
      <c r="D104" s="142">
        <f t="shared" si="5"/>
        <v>97</v>
      </c>
      <c r="E104" s="143" t="s">
        <v>158</v>
      </c>
      <c r="F104" s="144"/>
      <c r="G104" s="144" t="s">
        <v>159</v>
      </c>
      <c r="H104" s="145"/>
      <c r="I104" s="146"/>
      <c r="J104" s="147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/>
      <c r="BQ104" s="148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48"/>
      <c r="CP104" s="148"/>
      <c r="CQ104" s="148"/>
      <c r="CR104" s="148"/>
      <c r="CS104" s="148"/>
      <c r="CT104" s="148"/>
      <c r="CU104" s="148"/>
      <c r="CV104" s="148"/>
      <c r="CW104" s="148"/>
      <c r="CX104" s="148"/>
      <c r="CY104" s="148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8"/>
      <c r="DP104" s="148"/>
      <c r="DQ104" s="148"/>
      <c r="DR104" s="148"/>
      <c r="DS104" s="148"/>
      <c r="DT104" s="148"/>
      <c r="DU104" s="148"/>
      <c r="DV104" s="148"/>
      <c r="DW104" s="148"/>
      <c r="DX104" s="148"/>
      <c r="DY104" s="148"/>
      <c r="DZ104" s="148"/>
      <c r="EA104" s="148"/>
      <c r="EB104" s="148"/>
      <c r="EC104" s="148"/>
      <c r="ED104" s="148"/>
      <c r="EE104" s="148"/>
      <c r="EF104" s="148"/>
      <c r="EG104" s="148"/>
      <c r="EH104" s="148"/>
      <c r="EI104" s="148"/>
      <c r="EJ104" s="148"/>
      <c r="EK104" s="148"/>
      <c r="EL104" s="148"/>
      <c r="EM104" s="148"/>
      <c r="EN104" s="148"/>
      <c r="EO104" s="148"/>
      <c r="EP104" s="148"/>
      <c r="EQ104" s="148"/>
      <c r="ER104" s="148"/>
      <c r="ES104" s="148"/>
      <c r="ET104" s="148"/>
      <c r="EU104" s="148"/>
      <c r="EV104" s="148"/>
      <c r="EW104" s="148"/>
      <c r="EX104" s="148"/>
      <c r="EY104" s="148"/>
      <c r="EZ104" s="148"/>
      <c r="FA104" s="148"/>
      <c r="FB104" s="148"/>
      <c r="FC104" s="148"/>
      <c r="FD104" s="148"/>
      <c r="FE104" s="148"/>
      <c r="FF104" s="148"/>
      <c r="FG104" s="148"/>
      <c r="FH104" s="148"/>
      <c r="FI104" s="148"/>
      <c r="FJ104" s="148"/>
      <c r="FK104" s="148"/>
      <c r="FL104" s="148"/>
      <c r="FM104" s="148"/>
      <c r="FN104" s="148"/>
      <c r="FO104" s="148"/>
      <c r="FP104" s="148"/>
      <c r="FQ104" s="148"/>
      <c r="FR104" s="148"/>
      <c r="FS104" s="148"/>
      <c r="FT104" s="148"/>
      <c r="FU104" s="148"/>
      <c r="FV104" s="148"/>
      <c r="FW104" s="148"/>
      <c r="FX104" s="148"/>
      <c r="FY104" s="148"/>
      <c r="FZ104" s="148"/>
      <c r="GA104" s="148"/>
      <c r="GB104" s="148"/>
      <c r="GC104" s="148"/>
      <c r="GD104" s="148"/>
      <c r="GE104" s="148"/>
      <c r="GF104" s="148"/>
      <c r="GG104" s="148"/>
      <c r="GH104" s="148"/>
      <c r="GI104" s="148"/>
      <c r="GJ104" s="148"/>
      <c r="GK104" s="148"/>
      <c r="GL104" s="148"/>
      <c r="GM104" s="148"/>
      <c r="GN104" s="148"/>
      <c r="GO104" s="148"/>
      <c r="GP104" s="148"/>
      <c r="GQ104" s="148"/>
      <c r="GR104" s="148"/>
      <c r="GS104" s="148"/>
      <c r="GT104" s="148"/>
      <c r="GU104" s="148"/>
      <c r="GV104" s="148"/>
      <c r="GW104" s="148"/>
      <c r="GX104" s="148"/>
      <c r="GY104" s="148"/>
      <c r="GZ104" s="148"/>
      <c r="HA104" s="148"/>
      <c r="HB104" s="148"/>
      <c r="HC104" s="148"/>
      <c r="HD104" s="148"/>
      <c r="HE104" s="148"/>
      <c r="HF104" s="148"/>
      <c r="HG104" s="148"/>
      <c r="HH104" s="148"/>
      <c r="HI104" s="148"/>
      <c r="HJ104" s="148"/>
      <c r="HK104" s="148"/>
      <c r="HL104" s="148"/>
      <c r="HM104" s="148"/>
      <c r="HN104" s="148"/>
      <c r="HO104" s="148"/>
      <c r="HP104" s="148"/>
      <c r="HQ104" s="148"/>
      <c r="HR104" s="148"/>
      <c r="HS104" s="148"/>
      <c r="HT104" s="148"/>
      <c r="HU104" s="148"/>
      <c r="HV104" s="148"/>
      <c r="HW104" s="148"/>
      <c r="HX104" s="148"/>
      <c r="HY104" s="148"/>
      <c r="HZ104" s="148"/>
      <c r="IA104" s="148"/>
      <c r="IB104" s="148"/>
      <c r="IC104" s="148"/>
      <c r="ID104" s="148"/>
      <c r="IE104" s="148"/>
      <c r="IF104" s="148"/>
      <c r="IG104" s="148"/>
      <c r="IH104" s="148"/>
      <c r="II104" s="148"/>
      <c r="IJ104" s="148"/>
      <c r="IK104" s="148"/>
      <c r="IL104" s="148"/>
      <c r="IM104" s="148"/>
      <c r="IN104" s="148"/>
      <c r="IO104" s="148"/>
      <c r="IP104" s="148"/>
      <c r="IQ104" s="148"/>
      <c r="IR104" s="148"/>
      <c r="IS104" s="148"/>
      <c r="IT104" s="148"/>
      <c r="IU104" s="148"/>
      <c r="IV104" s="148"/>
    </row>
    <row r="105" spans="1:256" s="149" customFormat="1" ht="32.450000000000003" customHeight="1">
      <c r="A105" s="139"/>
      <c r="B105" s="140"/>
      <c r="C105" s="141" t="s">
        <v>29</v>
      </c>
      <c r="D105" s="142">
        <f t="shared" si="5"/>
        <v>98</v>
      </c>
      <c r="E105" s="143" t="s">
        <v>160</v>
      </c>
      <c r="F105" s="144"/>
      <c r="G105" s="144" t="s">
        <v>159</v>
      </c>
      <c r="H105" s="145"/>
      <c r="I105" s="146"/>
      <c r="J105" s="147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48"/>
      <c r="CQ105" s="148"/>
      <c r="CR105" s="148"/>
      <c r="CS105" s="148"/>
      <c r="CT105" s="148"/>
      <c r="CU105" s="148"/>
      <c r="CV105" s="148"/>
      <c r="CW105" s="148"/>
      <c r="CX105" s="148"/>
      <c r="CY105" s="148"/>
      <c r="CZ105" s="148"/>
      <c r="DA105" s="148"/>
      <c r="DB105" s="148"/>
      <c r="DC105" s="148"/>
      <c r="DD105" s="148"/>
      <c r="DE105" s="148"/>
      <c r="DF105" s="148"/>
      <c r="DG105" s="148"/>
      <c r="DH105" s="148"/>
      <c r="DI105" s="148"/>
      <c r="DJ105" s="148"/>
      <c r="DK105" s="148"/>
      <c r="DL105" s="148"/>
      <c r="DM105" s="148"/>
      <c r="DN105" s="148"/>
      <c r="DO105" s="148"/>
      <c r="DP105" s="148"/>
      <c r="DQ105" s="148"/>
      <c r="DR105" s="148"/>
      <c r="DS105" s="148"/>
      <c r="DT105" s="148"/>
      <c r="DU105" s="148"/>
      <c r="DV105" s="148"/>
      <c r="DW105" s="148"/>
      <c r="DX105" s="148"/>
      <c r="DY105" s="148"/>
      <c r="DZ105" s="148"/>
      <c r="EA105" s="148"/>
      <c r="EB105" s="148"/>
      <c r="EC105" s="148"/>
      <c r="ED105" s="148"/>
      <c r="EE105" s="148"/>
      <c r="EF105" s="148"/>
      <c r="EG105" s="148"/>
      <c r="EH105" s="148"/>
      <c r="EI105" s="148"/>
      <c r="EJ105" s="148"/>
      <c r="EK105" s="148"/>
      <c r="EL105" s="148"/>
      <c r="EM105" s="148"/>
      <c r="EN105" s="148"/>
      <c r="EO105" s="148"/>
      <c r="EP105" s="148"/>
      <c r="EQ105" s="148"/>
      <c r="ER105" s="148"/>
      <c r="ES105" s="148"/>
      <c r="ET105" s="148"/>
      <c r="EU105" s="148"/>
      <c r="EV105" s="148"/>
      <c r="EW105" s="148"/>
      <c r="EX105" s="148"/>
      <c r="EY105" s="148"/>
      <c r="EZ105" s="148"/>
      <c r="FA105" s="148"/>
      <c r="FB105" s="148"/>
      <c r="FC105" s="148"/>
      <c r="FD105" s="148"/>
      <c r="FE105" s="148"/>
      <c r="FF105" s="148"/>
      <c r="FG105" s="148"/>
      <c r="FH105" s="148"/>
      <c r="FI105" s="148"/>
      <c r="FJ105" s="148"/>
      <c r="FK105" s="148"/>
      <c r="FL105" s="148"/>
      <c r="FM105" s="148"/>
      <c r="FN105" s="148"/>
      <c r="FO105" s="148"/>
      <c r="FP105" s="148"/>
      <c r="FQ105" s="148"/>
      <c r="FR105" s="148"/>
      <c r="FS105" s="148"/>
      <c r="FT105" s="148"/>
      <c r="FU105" s="148"/>
      <c r="FV105" s="148"/>
      <c r="FW105" s="148"/>
      <c r="FX105" s="148"/>
      <c r="FY105" s="148"/>
      <c r="FZ105" s="148"/>
      <c r="GA105" s="148"/>
      <c r="GB105" s="148"/>
      <c r="GC105" s="148"/>
      <c r="GD105" s="148"/>
      <c r="GE105" s="148"/>
      <c r="GF105" s="148"/>
      <c r="GG105" s="148"/>
      <c r="GH105" s="148"/>
      <c r="GI105" s="148"/>
      <c r="GJ105" s="148"/>
      <c r="GK105" s="148"/>
      <c r="GL105" s="148"/>
      <c r="GM105" s="148"/>
      <c r="GN105" s="148"/>
      <c r="GO105" s="148"/>
      <c r="GP105" s="148"/>
      <c r="GQ105" s="148"/>
      <c r="GR105" s="148"/>
      <c r="GS105" s="148"/>
      <c r="GT105" s="148"/>
      <c r="GU105" s="148"/>
      <c r="GV105" s="148"/>
      <c r="GW105" s="148"/>
      <c r="GX105" s="148"/>
      <c r="GY105" s="148"/>
      <c r="GZ105" s="148"/>
      <c r="HA105" s="148"/>
      <c r="HB105" s="148"/>
      <c r="HC105" s="148"/>
      <c r="HD105" s="148"/>
      <c r="HE105" s="148"/>
      <c r="HF105" s="148"/>
      <c r="HG105" s="148"/>
      <c r="HH105" s="148"/>
      <c r="HI105" s="148"/>
      <c r="HJ105" s="148"/>
      <c r="HK105" s="148"/>
      <c r="HL105" s="148"/>
      <c r="HM105" s="148"/>
      <c r="HN105" s="148"/>
      <c r="HO105" s="148"/>
      <c r="HP105" s="148"/>
      <c r="HQ105" s="148"/>
      <c r="HR105" s="148"/>
      <c r="HS105" s="148"/>
      <c r="HT105" s="148"/>
      <c r="HU105" s="148"/>
      <c r="HV105" s="148"/>
      <c r="HW105" s="148"/>
      <c r="HX105" s="148"/>
      <c r="HY105" s="148"/>
      <c r="HZ105" s="148"/>
      <c r="IA105" s="148"/>
      <c r="IB105" s="148"/>
      <c r="IC105" s="148"/>
      <c r="ID105" s="148"/>
      <c r="IE105" s="148"/>
      <c r="IF105" s="148"/>
      <c r="IG105" s="148"/>
      <c r="IH105" s="148"/>
      <c r="II105" s="148"/>
      <c r="IJ105" s="148"/>
      <c r="IK105" s="148"/>
      <c r="IL105" s="148"/>
      <c r="IM105" s="148"/>
      <c r="IN105" s="148"/>
      <c r="IO105" s="148"/>
      <c r="IP105" s="148"/>
      <c r="IQ105" s="148"/>
      <c r="IR105" s="148"/>
      <c r="IS105" s="148"/>
      <c r="IT105" s="148"/>
      <c r="IU105" s="148"/>
      <c r="IV105" s="148"/>
    </row>
    <row r="106" spans="1:256" s="149" customFormat="1" ht="82.7" customHeight="1">
      <c r="A106" s="139"/>
      <c r="B106" s="140"/>
      <c r="C106" s="141" t="s">
        <v>29</v>
      </c>
      <c r="D106" s="142">
        <f t="shared" si="5"/>
        <v>99</v>
      </c>
      <c r="E106" s="143" t="s">
        <v>161</v>
      </c>
      <c r="F106" s="144"/>
      <c r="G106" s="144" t="s">
        <v>159</v>
      </c>
      <c r="H106" s="145"/>
      <c r="I106" s="146"/>
      <c r="J106" s="147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  <c r="BI106" s="148"/>
      <c r="BJ106" s="148"/>
      <c r="BK106" s="148"/>
      <c r="BL106" s="148"/>
      <c r="BM106" s="148"/>
      <c r="BN106" s="148"/>
      <c r="BO106" s="148"/>
      <c r="BP106" s="148"/>
      <c r="BQ106" s="148"/>
      <c r="BR106" s="148"/>
      <c r="BS106" s="148"/>
      <c r="BT106" s="148"/>
      <c r="BU106" s="148"/>
      <c r="BV106" s="148"/>
      <c r="BW106" s="148"/>
      <c r="BX106" s="148"/>
      <c r="BY106" s="148"/>
      <c r="BZ106" s="148"/>
      <c r="CA106" s="148"/>
      <c r="CB106" s="148"/>
      <c r="CC106" s="148"/>
      <c r="CD106" s="148"/>
      <c r="CE106" s="148"/>
      <c r="CF106" s="148"/>
      <c r="CG106" s="148"/>
      <c r="CH106" s="148"/>
      <c r="CI106" s="148"/>
      <c r="CJ106" s="148"/>
      <c r="CK106" s="148"/>
      <c r="CL106" s="148"/>
      <c r="CM106" s="148"/>
      <c r="CN106" s="148"/>
      <c r="CO106" s="148"/>
      <c r="CP106" s="148"/>
      <c r="CQ106" s="148"/>
      <c r="CR106" s="148"/>
      <c r="CS106" s="148"/>
      <c r="CT106" s="148"/>
      <c r="CU106" s="148"/>
      <c r="CV106" s="148"/>
      <c r="CW106" s="148"/>
      <c r="CX106" s="148"/>
      <c r="CY106" s="148"/>
      <c r="CZ106" s="148"/>
      <c r="DA106" s="148"/>
      <c r="DB106" s="148"/>
      <c r="DC106" s="148"/>
      <c r="DD106" s="148"/>
      <c r="DE106" s="148"/>
      <c r="DF106" s="148"/>
      <c r="DG106" s="148"/>
      <c r="DH106" s="148"/>
      <c r="DI106" s="148"/>
      <c r="DJ106" s="148"/>
      <c r="DK106" s="148"/>
      <c r="DL106" s="148"/>
      <c r="DM106" s="148"/>
      <c r="DN106" s="148"/>
      <c r="DO106" s="148"/>
      <c r="DP106" s="148"/>
      <c r="DQ106" s="148"/>
      <c r="DR106" s="148"/>
      <c r="DS106" s="148"/>
      <c r="DT106" s="148"/>
      <c r="DU106" s="148"/>
      <c r="DV106" s="148"/>
      <c r="DW106" s="148"/>
      <c r="DX106" s="148"/>
      <c r="DY106" s="148"/>
      <c r="DZ106" s="148"/>
      <c r="EA106" s="148"/>
      <c r="EB106" s="148"/>
      <c r="EC106" s="148"/>
      <c r="ED106" s="148"/>
      <c r="EE106" s="148"/>
      <c r="EF106" s="148"/>
      <c r="EG106" s="148"/>
      <c r="EH106" s="148"/>
      <c r="EI106" s="148"/>
      <c r="EJ106" s="148"/>
      <c r="EK106" s="148"/>
      <c r="EL106" s="148"/>
      <c r="EM106" s="148"/>
      <c r="EN106" s="148"/>
      <c r="EO106" s="148"/>
      <c r="EP106" s="148"/>
      <c r="EQ106" s="148"/>
      <c r="ER106" s="148"/>
      <c r="ES106" s="148"/>
      <c r="ET106" s="148"/>
      <c r="EU106" s="148"/>
      <c r="EV106" s="148"/>
      <c r="EW106" s="148"/>
      <c r="EX106" s="148"/>
      <c r="EY106" s="148"/>
      <c r="EZ106" s="148"/>
      <c r="FA106" s="148"/>
      <c r="FB106" s="148"/>
      <c r="FC106" s="148"/>
      <c r="FD106" s="148"/>
      <c r="FE106" s="148"/>
      <c r="FF106" s="148"/>
      <c r="FG106" s="148"/>
      <c r="FH106" s="148"/>
      <c r="FI106" s="148"/>
      <c r="FJ106" s="148"/>
      <c r="FK106" s="148"/>
      <c r="FL106" s="148"/>
      <c r="FM106" s="148"/>
      <c r="FN106" s="148"/>
      <c r="FO106" s="148"/>
      <c r="FP106" s="148"/>
      <c r="FQ106" s="148"/>
      <c r="FR106" s="148"/>
      <c r="FS106" s="148"/>
      <c r="FT106" s="148"/>
      <c r="FU106" s="148"/>
      <c r="FV106" s="148"/>
      <c r="FW106" s="148"/>
      <c r="FX106" s="148"/>
      <c r="FY106" s="148"/>
      <c r="FZ106" s="148"/>
      <c r="GA106" s="148"/>
      <c r="GB106" s="148"/>
      <c r="GC106" s="148"/>
      <c r="GD106" s="148"/>
      <c r="GE106" s="148"/>
      <c r="GF106" s="148"/>
      <c r="GG106" s="148"/>
      <c r="GH106" s="148"/>
      <c r="GI106" s="148"/>
      <c r="GJ106" s="148"/>
      <c r="GK106" s="148"/>
      <c r="GL106" s="148"/>
      <c r="GM106" s="148"/>
      <c r="GN106" s="148"/>
      <c r="GO106" s="148"/>
      <c r="GP106" s="148"/>
      <c r="GQ106" s="148"/>
      <c r="GR106" s="148"/>
      <c r="GS106" s="148"/>
      <c r="GT106" s="148"/>
      <c r="GU106" s="148"/>
      <c r="GV106" s="148"/>
      <c r="GW106" s="148"/>
      <c r="GX106" s="148"/>
      <c r="GY106" s="148"/>
      <c r="GZ106" s="148"/>
      <c r="HA106" s="148"/>
      <c r="HB106" s="148"/>
      <c r="HC106" s="148"/>
      <c r="HD106" s="148"/>
      <c r="HE106" s="148"/>
      <c r="HF106" s="148"/>
      <c r="HG106" s="148"/>
      <c r="HH106" s="148"/>
      <c r="HI106" s="148"/>
      <c r="HJ106" s="148"/>
      <c r="HK106" s="148"/>
      <c r="HL106" s="148"/>
      <c r="HM106" s="148"/>
      <c r="HN106" s="148"/>
      <c r="HO106" s="148"/>
      <c r="HP106" s="148"/>
      <c r="HQ106" s="148"/>
      <c r="HR106" s="148"/>
      <c r="HS106" s="148"/>
      <c r="HT106" s="148"/>
      <c r="HU106" s="148"/>
      <c r="HV106" s="148"/>
      <c r="HW106" s="148"/>
      <c r="HX106" s="148"/>
      <c r="HY106" s="148"/>
      <c r="HZ106" s="148"/>
      <c r="IA106" s="148"/>
      <c r="IB106" s="148"/>
      <c r="IC106" s="148"/>
      <c r="ID106" s="148"/>
      <c r="IE106" s="148"/>
      <c r="IF106" s="148"/>
      <c r="IG106" s="148"/>
      <c r="IH106" s="148"/>
      <c r="II106" s="148"/>
      <c r="IJ106" s="148"/>
      <c r="IK106" s="148"/>
      <c r="IL106" s="148"/>
      <c r="IM106" s="148"/>
      <c r="IN106" s="148"/>
      <c r="IO106" s="148"/>
      <c r="IP106" s="148"/>
      <c r="IQ106" s="148"/>
      <c r="IR106" s="148"/>
      <c r="IS106" s="148"/>
      <c r="IT106" s="148"/>
      <c r="IU106" s="148"/>
      <c r="IV106" s="148"/>
    </row>
    <row r="107" spans="1:256" s="149" customFormat="1" ht="48.4" customHeight="1">
      <c r="A107" s="139"/>
      <c r="B107" s="140"/>
      <c r="C107" s="141" t="s">
        <v>29</v>
      </c>
      <c r="D107" s="142">
        <f t="shared" si="5"/>
        <v>100</v>
      </c>
      <c r="E107" s="143" t="s">
        <v>162</v>
      </c>
      <c r="F107" s="144"/>
      <c r="G107" s="144" t="s">
        <v>159</v>
      </c>
      <c r="H107" s="145"/>
      <c r="I107" s="146"/>
      <c r="J107" s="147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/>
      <c r="BQ107" s="148"/>
      <c r="BR107" s="148"/>
      <c r="BS107" s="148"/>
      <c r="BT107" s="148"/>
      <c r="BU107" s="148"/>
      <c r="BV107" s="148"/>
      <c r="BW107" s="148"/>
      <c r="BX107" s="148"/>
      <c r="BY107" s="148"/>
      <c r="BZ107" s="148"/>
      <c r="CA107" s="148"/>
      <c r="CB107" s="148"/>
      <c r="CC107" s="148"/>
      <c r="CD107" s="148"/>
      <c r="CE107" s="148"/>
      <c r="CF107" s="148"/>
      <c r="CG107" s="148"/>
      <c r="CH107" s="148"/>
      <c r="CI107" s="148"/>
      <c r="CJ107" s="148"/>
      <c r="CK107" s="148"/>
      <c r="CL107" s="148"/>
      <c r="CM107" s="148"/>
      <c r="CN107" s="148"/>
      <c r="CO107" s="148"/>
      <c r="CP107" s="148"/>
      <c r="CQ107" s="148"/>
      <c r="CR107" s="148"/>
      <c r="CS107" s="148"/>
      <c r="CT107" s="148"/>
      <c r="CU107" s="148"/>
      <c r="CV107" s="148"/>
      <c r="CW107" s="148"/>
      <c r="CX107" s="148"/>
      <c r="CY107" s="148"/>
      <c r="CZ107" s="148"/>
      <c r="DA107" s="148"/>
      <c r="DB107" s="148"/>
      <c r="DC107" s="148"/>
      <c r="DD107" s="148"/>
      <c r="DE107" s="148"/>
      <c r="DF107" s="148"/>
      <c r="DG107" s="148"/>
      <c r="DH107" s="148"/>
      <c r="DI107" s="148"/>
      <c r="DJ107" s="148"/>
      <c r="DK107" s="148"/>
      <c r="DL107" s="148"/>
      <c r="DM107" s="148"/>
      <c r="DN107" s="148"/>
      <c r="DO107" s="148"/>
      <c r="DP107" s="148"/>
      <c r="DQ107" s="148"/>
      <c r="DR107" s="148"/>
      <c r="DS107" s="148"/>
      <c r="DT107" s="148"/>
      <c r="DU107" s="148"/>
      <c r="DV107" s="148"/>
      <c r="DW107" s="148"/>
      <c r="DX107" s="148"/>
      <c r="DY107" s="148"/>
      <c r="DZ107" s="148"/>
      <c r="EA107" s="148"/>
      <c r="EB107" s="148"/>
      <c r="EC107" s="148"/>
      <c r="ED107" s="148"/>
      <c r="EE107" s="148"/>
      <c r="EF107" s="148"/>
      <c r="EG107" s="148"/>
      <c r="EH107" s="148"/>
      <c r="EI107" s="148"/>
      <c r="EJ107" s="148"/>
      <c r="EK107" s="148"/>
      <c r="EL107" s="148"/>
      <c r="EM107" s="148"/>
      <c r="EN107" s="148"/>
      <c r="EO107" s="148"/>
      <c r="EP107" s="148"/>
      <c r="EQ107" s="148"/>
      <c r="ER107" s="148"/>
      <c r="ES107" s="148"/>
      <c r="ET107" s="148"/>
      <c r="EU107" s="148"/>
      <c r="EV107" s="148"/>
      <c r="EW107" s="148"/>
      <c r="EX107" s="148"/>
      <c r="EY107" s="148"/>
      <c r="EZ107" s="148"/>
      <c r="FA107" s="148"/>
      <c r="FB107" s="148"/>
      <c r="FC107" s="148"/>
      <c r="FD107" s="148"/>
      <c r="FE107" s="148"/>
      <c r="FF107" s="148"/>
      <c r="FG107" s="148"/>
      <c r="FH107" s="148"/>
      <c r="FI107" s="148"/>
      <c r="FJ107" s="148"/>
      <c r="FK107" s="148"/>
      <c r="FL107" s="148"/>
      <c r="FM107" s="148"/>
      <c r="FN107" s="148"/>
      <c r="FO107" s="148"/>
      <c r="FP107" s="148"/>
      <c r="FQ107" s="148"/>
      <c r="FR107" s="148"/>
      <c r="FS107" s="148"/>
      <c r="FT107" s="148"/>
      <c r="FU107" s="148"/>
      <c r="FV107" s="148"/>
      <c r="FW107" s="148"/>
      <c r="FX107" s="148"/>
      <c r="FY107" s="148"/>
      <c r="FZ107" s="148"/>
      <c r="GA107" s="148"/>
      <c r="GB107" s="148"/>
      <c r="GC107" s="148"/>
      <c r="GD107" s="148"/>
      <c r="GE107" s="148"/>
      <c r="GF107" s="148"/>
      <c r="GG107" s="148"/>
      <c r="GH107" s="148"/>
      <c r="GI107" s="148"/>
      <c r="GJ107" s="148"/>
      <c r="GK107" s="148"/>
      <c r="GL107" s="148"/>
      <c r="GM107" s="148"/>
      <c r="GN107" s="148"/>
      <c r="GO107" s="148"/>
      <c r="GP107" s="148"/>
      <c r="GQ107" s="148"/>
      <c r="GR107" s="148"/>
      <c r="GS107" s="148"/>
      <c r="GT107" s="148"/>
      <c r="GU107" s="148"/>
      <c r="GV107" s="148"/>
      <c r="GW107" s="148"/>
      <c r="GX107" s="148"/>
      <c r="GY107" s="148"/>
      <c r="GZ107" s="148"/>
      <c r="HA107" s="148"/>
      <c r="HB107" s="148"/>
      <c r="HC107" s="148"/>
      <c r="HD107" s="148"/>
      <c r="HE107" s="148"/>
      <c r="HF107" s="148"/>
      <c r="HG107" s="148"/>
      <c r="HH107" s="148"/>
      <c r="HI107" s="148"/>
      <c r="HJ107" s="148"/>
      <c r="HK107" s="148"/>
      <c r="HL107" s="148"/>
      <c r="HM107" s="148"/>
      <c r="HN107" s="148"/>
      <c r="HO107" s="148"/>
      <c r="HP107" s="148"/>
      <c r="HQ107" s="148"/>
      <c r="HR107" s="148"/>
      <c r="HS107" s="148"/>
      <c r="HT107" s="148"/>
      <c r="HU107" s="148"/>
      <c r="HV107" s="148"/>
      <c r="HW107" s="148"/>
      <c r="HX107" s="148"/>
      <c r="HY107" s="148"/>
      <c r="HZ107" s="148"/>
      <c r="IA107" s="148"/>
      <c r="IB107" s="148"/>
      <c r="IC107" s="148"/>
      <c r="ID107" s="148"/>
      <c r="IE107" s="148"/>
      <c r="IF107" s="148"/>
      <c r="IG107" s="148"/>
      <c r="IH107" s="148"/>
      <c r="II107" s="148"/>
      <c r="IJ107" s="148"/>
      <c r="IK107" s="148"/>
      <c r="IL107" s="148"/>
      <c r="IM107" s="148"/>
      <c r="IN107" s="148"/>
      <c r="IO107" s="148"/>
      <c r="IP107" s="148"/>
      <c r="IQ107" s="148"/>
      <c r="IR107" s="148"/>
      <c r="IS107" s="148"/>
      <c r="IT107" s="148"/>
      <c r="IU107" s="148"/>
      <c r="IV107" s="148"/>
    </row>
    <row r="108" spans="1:256" ht="43.5" customHeight="1">
      <c r="A108" s="235"/>
      <c r="B108" s="236" t="s">
        <v>18</v>
      </c>
      <c r="C108" s="237" t="s">
        <v>29</v>
      </c>
      <c r="D108" s="238">
        <f t="shared" si="5"/>
        <v>101</v>
      </c>
      <c r="E108" s="239" t="s">
        <v>163</v>
      </c>
      <c r="F108" s="240" t="s">
        <v>164</v>
      </c>
      <c r="G108" s="241"/>
      <c r="H108" s="242"/>
      <c r="I108" s="243"/>
      <c r="J108" s="244" t="s">
        <v>157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</row>
    <row r="109" spans="1:256" s="149" customFormat="1" ht="98.85" customHeight="1">
      <c r="A109" s="139"/>
      <c r="B109" s="140"/>
      <c r="C109" s="141" t="s">
        <v>29</v>
      </c>
      <c r="D109" s="142">
        <f t="shared" si="5"/>
        <v>102</v>
      </c>
      <c r="E109" s="143" t="s">
        <v>158</v>
      </c>
      <c r="F109" s="144" t="s">
        <v>165</v>
      </c>
      <c r="G109" s="144"/>
      <c r="H109" s="145"/>
      <c r="I109" s="146"/>
      <c r="J109" s="147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48"/>
      <c r="BG109" s="148"/>
      <c r="BH109" s="148"/>
      <c r="BI109" s="148"/>
      <c r="BJ109" s="148"/>
      <c r="BK109" s="148"/>
      <c r="BL109" s="148"/>
      <c r="BM109" s="148"/>
      <c r="BN109" s="148"/>
      <c r="BO109" s="148"/>
      <c r="BP109" s="148"/>
      <c r="BQ109" s="148"/>
      <c r="BR109" s="148"/>
      <c r="BS109" s="148"/>
      <c r="BT109" s="148"/>
      <c r="BU109" s="148"/>
      <c r="BV109" s="148"/>
      <c r="BW109" s="148"/>
      <c r="BX109" s="148"/>
      <c r="BY109" s="148"/>
      <c r="BZ109" s="148"/>
      <c r="CA109" s="148"/>
      <c r="CB109" s="148"/>
      <c r="CC109" s="148"/>
      <c r="CD109" s="148"/>
      <c r="CE109" s="148"/>
      <c r="CF109" s="148"/>
      <c r="CG109" s="148"/>
      <c r="CH109" s="148"/>
      <c r="CI109" s="148"/>
      <c r="CJ109" s="148"/>
      <c r="CK109" s="148"/>
      <c r="CL109" s="148"/>
      <c r="CM109" s="148"/>
      <c r="CN109" s="148"/>
      <c r="CO109" s="148"/>
      <c r="CP109" s="148"/>
      <c r="CQ109" s="148"/>
      <c r="CR109" s="148"/>
      <c r="CS109" s="148"/>
      <c r="CT109" s="148"/>
      <c r="CU109" s="148"/>
      <c r="CV109" s="148"/>
      <c r="CW109" s="148"/>
      <c r="CX109" s="148"/>
      <c r="CY109" s="148"/>
      <c r="CZ109" s="148"/>
      <c r="DA109" s="148"/>
      <c r="DB109" s="148"/>
      <c r="DC109" s="148"/>
      <c r="DD109" s="148"/>
      <c r="DE109" s="148"/>
      <c r="DF109" s="148"/>
      <c r="DG109" s="148"/>
      <c r="DH109" s="148"/>
      <c r="DI109" s="148"/>
      <c r="DJ109" s="148"/>
      <c r="DK109" s="148"/>
      <c r="DL109" s="148"/>
      <c r="DM109" s="148"/>
      <c r="DN109" s="148"/>
      <c r="DO109" s="148"/>
      <c r="DP109" s="148"/>
      <c r="DQ109" s="148"/>
      <c r="DR109" s="148"/>
      <c r="DS109" s="148"/>
      <c r="DT109" s="148"/>
      <c r="DU109" s="148"/>
      <c r="DV109" s="148"/>
      <c r="DW109" s="148"/>
      <c r="DX109" s="148"/>
      <c r="DY109" s="148"/>
      <c r="DZ109" s="148"/>
      <c r="EA109" s="148"/>
      <c r="EB109" s="148"/>
      <c r="EC109" s="148"/>
      <c r="ED109" s="148"/>
      <c r="EE109" s="148"/>
      <c r="EF109" s="148"/>
      <c r="EG109" s="148"/>
      <c r="EH109" s="148"/>
      <c r="EI109" s="148"/>
      <c r="EJ109" s="148"/>
      <c r="EK109" s="148"/>
      <c r="EL109" s="148"/>
      <c r="EM109" s="148"/>
      <c r="EN109" s="148"/>
      <c r="EO109" s="148"/>
      <c r="EP109" s="148"/>
      <c r="EQ109" s="148"/>
      <c r="ER109" s="148"/>
      <c r="ES109" s="148"/>
      <c r="ET109" s="148"/>
      <c r="EU109" s="148"/>
      <c r="EV109" s="148"/>
      <c r="EW109" s="148"/>
      <c r="EX109" s="148"/>
      <c r="EY109" s="148"/>
      <c r="EZ109" s="148"/>
      <c r="FA109" s="148"/>
      <c r="FB109" s="148"/>
      <c r="FC109" s="148"/>
      <c r="FD109" s="148"/>
      <c r="FE109" s="148"/>
      <c r="FF109" s="148"/>
      <c r="FG109" s="148"/>
      <c r="FH109" s="148"/>
      <c r="FI109" s="148"/>
      <c r="FJ109" s="148"/>
      <c r="FK109" s="148"/>
      <c r="FL109" s="148"/>
      <c r="FM109" s="148"/>
      <c r="FN109" s="148"/>
      <c r="FO109" s="148"/>
      <c r="FP109" s="148"/>
      <c r="FQ109" s="148"/>
      <c r="FR109" s="148"/>
      <c r="FS109" s="148"/>
      <c r="FT109" s="148"/>
      <c r="FU109" s="148"/>
      <c r="FV109" s="148"/>
      <c r="FW109" s="148"/>
      <c r="FX109" s="148"/>
      <c r="FY109" s="148"/>
      <c r="FZ109" s="148"/>
      <c r="GA109" s="148"/>
      <c r="GB109" s="148"/>
      <c r="GC109" s="148"/>
      <c r="GD109" s="148"/>
      <c r="GE109" s="148"/>
      <c r="GF109" s="148"/>
      <c r="GG109" s="148"/>
      <c r="GH109" s="148"/>
      <c r="GI109" s="148"/>
      <c r="GJ109" s="148"/>
      <c r="GK109" s="148"/>
      <c r="GL109" s="148"/>
      <c r="GM109" s="148"/>
      <c r="GN109" s="148"/>
      <c r="GO109" s="148"/>
      <c r="GP109" s="148"/>
      <c r="GQ109" s="148"/>
      <c r="GR109" s="148"/>
      <c r="GS109" s="148"/>
      <c r="GT109" s="148"/>
      <c r="GU109" s="148"/>
      <c r="GV109" s="148"/>
      <c r="GW109" s="148"/>
      <c r="GX109" s="148"/>
      <c r="GY109" s="148"/>
      <c r="GZ109" s="148"/>
      <c r="HA109" s="148"/>
      <c r="HB109" s="148"/>
      <c r="HC109" s="148"/>
      <c r="HD109" s="148"/>
      <c r="HE109" s="148"/>
      <c r="HF109" s="148"/>
      <c r="HG109" s="148"/>
      <c r="HH109" s="148"/>
      <c r="HI109" s="148"/>
      <c r="HJ109" s="148"/>
      <c r="HK109" s="148"/>
      <c r="HL109" s="148"/>
      <c r="HM109" s="148"/>
      <c r="HN109" s="148"/>
      <c r="HO109" s="148"/>
      <c r="HP109" s="148"/>
      <c r="HQ109" s="148"/>
      <c r="HR109" s="148"/>
      <c r="HS109" s="148"/>
      <c r="HT109" s="148"/>
      <c r="HU109" s="148"/>
      <c r="HV109" s="148"/>
      <c r="HW109" s="148"/>
      <c r="HX109" s="148"/>
      <c r="HY109" s="148"/>
      <c r="HZ109" s="148"/>
      <c r="IA109" s="148"/>
      <c r="IB109" s="148"/>
      <c r="IC109" s="148"/>
      <c r="ID109" s="148"/>
      <c r="IE109" s="148"/>
      <c r="IF109" s="148"/>
      <c r="IG109" s="148"/>
      <c r="IH109" s="148"/>
      <c r="II109" s="148"/>
      <c r="IJ109" s="148"/>
      <c r="IK109" s="148"/>
      <c r="IL109" s="148"/>
      <c r="IM109" s="148"/>
      <c r="IN109" s="148"/>
      <c r="IO109" s="148"/>
      <c r="IP109" s="148"/>
      <c r="IQ109" s="148"/>
      <c r="IR109" s="148"/>
      <c r="IS109" s="148"/>
      <c r="IT109" s="148"/>
      <c r="IU109" s="148"/>
      <c r="IV109" s="148"/>
    </row>
    <row r="110" spans="1:256" s="149" customFormat="1" ht="68.45" customHeight="1">
      <c r="A110" s="139"/>
      <c r="B110" s="140" t="s">
        <v>18</v>
      </c>
      <c r="C110" s="141" t="s">
        <v>29</v>
      </c>
      <c r="D110" s="142">
        <f t="shared" si="5"/>
        <v>103</v>
      </c>
      <c r="E110" s="143" t="s">
        <v>160</v>
      </c>
      <c r="F110" s="144" t="s">
        <v>165</v>
      </c>
      <c r="G110" s="144"/>
      <c r="H110" s="145"/>
      <c r="I110" s="146"/>
      <c r="J110" s="147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8"/>
      <c r="BQ110" s="148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48"/>
      <c r="CH110" s="148"/>
      <c r="CI110" s="148"/>
      <c r="CJ110" s="148"/>
      <c r="CK110" s="148"/>
      <c r="CL110" s="148"/>
      <c r="CM110" s="148"/>
      <c r="CN110" s="148"/>
      <c r="CO110" s="148"/>
      <c r="CP110" s="148"/>
      <c r="CQ110" s="148"/>
      <c r="CR110" s="148"/>
      <c r="CS110" s="148"/>
      <c r="CT110" s="148"/>
      <c r="CU110" s="148"/>
      <c r="CV110" s="148"/>
      <c r="CW110" s="148"/>
      <c r="CX110" s="148"/>
      <c r="CY110" s="148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8"/>
      <c r="DP110" s="148"/>
      <c r="DQ110" s="148"/>
      <c r="DR110" s="148"/>
      <c r="DS110" s="148"/>
      <c r="DT110" s="148"/>
      <c r="DU110" s="148"/>
      <c r="DV110" s="148"/>
      <c r="DW110" s="148"/>
      <c r="DX110" s="148"/>
      <c r="DY110" s="148"/>
      <c r="DZ110" s="148"/>
      <c r="EA110" s="148"/>
      <c r="EB110" s="148"/>
      <c r="EC110" s="148"/>
      <c r="ED110" s="148"/>
      <c r="EE110" s="148"/>
      <c r="EF110" s="148"/>
      <c r="EG110" s="148"/>
      <c r="EH110" s="148"/>
      <c r="EI110" s="148"/>
      <c r="EJ110" s="148"/>
      <c r="EK110" s="148"/>
      <c r="EL110" s="148"/>
      <c r="EM110" s="148"/>
      <c r="EN110" s="148"/>
      <c r="EO110" s="148"/>
      <c r="EP110" s="148"/>
      <c r="EQ110" s="148"/>
      <c r="ER110" s="148"/>
      <c r="ES110" s="148"/>
      <c r="ET110" s="148"/>
      <c r="EU110" s="148"/>
      <c r="EV110" s="148"/>
      <c r="EW110" s="148"/>
      <c r="EX110" s="148"/>
      <c r="EY110" s="148"/>
      <c r="EZ110" s="148"/>
      <c r="FA110" s="148"/>
      <c r="FB110" s="148"/>
      <c r="FC110" s="148"/>
      <c r="FD110" s="148"/>
      <c r="FE110" s="148"/>
      <c r="FF110" s="148"/>
      <c r="FG110" s="148"/>
      <c r="FH110" s="148"/>
      <c r="FI110" s="148"/>
      <c r="FJ110" s="148"/>
      <c r="FK110" s="148"/>
      <c r="FL110" s="148"/>
      <c r="FM110" s="148"/>
      <c r="FN110" s="148"/>
      <c r="FO110" s="148"/>
      <c r="FP110" s="148"/>
      <c r="FQ110" s="148"/>
      <c r="FR110" s="148"/>
      <c r="FS110" s="148"/>
      <c r="FT110" s="148"/>
      <c r="FU110" s="148"/>
      <c r="FV110" s="148"/>
      <c r="FW110" s="148"/>
      <c r="FX110" s="148"/>
      <c r="FY110" s="148"/>
      <c r="FZ110" s="148"/>
      <c r="GA110" s="148"/>
      <c r="GB110" s="148"/>
      <c r="GC110" s="148"/>
      <c r="GD110" s="148"/>
      <c r="GE110" s="148"/>
      <c r="GF110" s="148"/>
      <c r="GG110" s="148"/>
      <c r="GH110" s="148"/>
      <c r="GI110" s="148"/>
      <c r="GJ110" s="148"/>
      <c r="GK110" s="148"/>
      <c r="GL110" s="148"/>
      <c r="GM110" s="148"/>
      <c r="GN110" s="148"/>
      <c r="GO110" s="148"/>
      <c r="GP110" s="148"/>
      <c r="GQ110" s="148"/>
      <c r="GR110" s="148"/>
      <c r="GS110" s="148"/>
      <c r="GT110" s="148"/>
      <c r="GU110" s="148"/>
      <c r="GV110" s="148"/>
      <c r="GW110" s="148"/>
      <c r="GX110" s="148"/>
      <c r="GY110" s="148"/>
      <c r="GZ110" s="148"/>
      <c r="HA110" s="148"/>
      <c r="HB110" s="148"/>
      <c r="HC110" s="148"/>
      <c r="HD110" s="148"/>
      <c r="HE110" s="148"/>
      <c r="HF110" s="148"/>
      <c r="HG110" s="148"/>
      <c r="HH110" s="148"/>
      <c r="HI110" s="148"/>
      <c r="HJ110" s="148"/>
      <c r="HK110" s="148"/>
      <c r="HL110" s="148"/>
      <c r="HM110" s="148"/>
      <c r="HN110" s="148"/>
      <c r="HO110" s="148"/>
      <c r="HP110" s="148"/>
      <c r="HQ110" s="148"/>
      <c r="HR110" s="148"/>
      <c r="HS110" s="148"/>
      <c r="HT110" s="148"/>
      <c r="HU110" s="148"/>
      <c r="HV110" s="148"/>
      <c r="HW110" s="148"/>
      <c r="HX110" s="148"/>
      <c r="HY110" s="148"/>
      <c r="HZ110" s="148"/>
      <c r="IA110" s="148"/>
      <c r="IB110" s="148"/>
      <c r="IC110" s="148"/>
      <c r="ID110" s="148"/>
      <c r="IE110" s="148"/>
      <c r="IF110" s="148"/>
      <c r="IG110" s="148"/>
      <c r="IH110" s="148"/>
      <c r="II110" s="148"/>
      <c r="IJ110" s="148"/>
      <c r="IK110" s="148"/>
      <c r="IL110" s="148"/>
      <c r="IM110" s="148"/>
      <c r="IN110" s="148"/>
      <c r="IO110" s="148"/>
      <c r="IP110" s="148"/>
      <c r="IQ110" s="148"/>
      <c r="IR110" s="148"/>
      <c r="IS110" s="148"/>
      <c r="IT110" s="148"/>
      <c r="IU110" s="148"/>
      <c r="IV110" s="148"/>
    </row>
    <row r="111" spans="1:256" s="149" customFormat="1" ht="82.7" customHeight="1">
      <c r="A111" s="139"/>
      <c r="B111" s="140"/>
      <c r="C111" s="141" t="s">
        <v>29</v>
      </c>
      <c r="D111" s="142">
        <f t="shared" si="5"/>
        <v>104</v>
      </c>
      <c r="E111" s="143" t="s">
        <v>161</v>
      </c>
      <c r="F111" s="144" t="s">
        <v>165</v>
      </c>
      <c r="G111" s="144"/>
      <c r="H111" s="145"/>
      <c r="I111" s="146"/>
      <c r="J111" s="147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  <c r="CJ111" s="148"/>
      <c r="CK111" s="148"/>
      <c r="CL111" s="148"/>
      <c r="CM111" s="148"/>
      <c r="CN111" s="148"/>
      <c r="CO111" s="148"/>
      <c r="CP111" s="148"/>
      <c r="CQ111" s="148"/>
      <c r="CR111" s="148"/>
      <c r="CS111" s="148"/>
      <c r="CT111" s="148"/>
      <c r="CU111" s="148"/>
      <c r="CV111" s="148"/>
      <c r="CW111" s="148"/>
      <c r="CX111" s="148"/>
      <c r="CY111" s="148"/>
      <c r="CZ111" s="148"/>
      <c r="DA111" s="148"/>
      <c r="DB111" s="148"/>
      <c r="DC111" s="148"/>
      <c r="DD111" s="148"/>
      <c r="DE111" s="148"/>
      <c r="DF111" s="148"/>
      <c r="DG111" s="148"/>
      <c r="DH111" s="148"/>
      <c r="DI111" s="148"/>
      <c r="DJ111" s="148"/>
      <c r="DK111" s="148"/>
      <c r="DL111" s="148"/>
      <c r="DM111" s="148"/>
      <c r="DN111" s="148"/>
      <c r="DO111" s="148"/>
      <c r="DP111" s="148"/>
      <c r="DQ111" s="148"/>
      <c r="DR111" s="148"/>
      <c r="DS111" s="148"/>
      <c r="DT111" s="148"/>
      <c r="DU111" s="148"/>
      <c r="DV111" s="148"/>
      <c r="DW111" s="148"/>
      <c r="DX111" s="148"/>
      <c r="DY111" s="148"/>
      <c r="DZ111" s="148"/>
      <c r="EA111" s="148"/>
      <c r="EB111" s="148"/>
      <c r="EC111" s="148"/>
      <c r="ED111" s="148"/>
      <c r="EE111" s="148"/>
      <c r="EF111" s="148"/>
      <c r="EG111" s="148"/>
      <c r="EH111" s="148"/>
      <c r="EI111" s="148"/>
      <c r="EJ111" s="148"/>
      <c r="EK111" s="148"/>
      <c r="EL111" s="148"/>
      <c r="EM111" s="148"/>
      <c r="EN111" s="148"/>
      <c r="EO111" s="148"/>
      <c r="EP111" s="148"/>
      <c r="EQ111" s="148"/>
      <c r="ER111" s="148"/>
      <c r="ES111" s="148"/>
      <c r="ET111" s="148"/>
      <c r="EU111" s="148"/>
      <c r="EV111" s="148"/>
      <c r="EW111" s="148"/>
      <c r="EX111" s="148"/>
      <c r="EY111" s="148"/>
      <c r="EZ111" s="148"/>
      <c r="FA111" s="148"/>
      <c r="FB111" s="148"/>
      <c r="FC111" s="148"/>
      <c r="FD111" s="148"/>
      <c r="FE111" s="148"/>
      <c r="FF111" s="148"/>
      <c r="FG111" s="148"/>
      <c r="FH111" s="148"/>
      <c r="FI111" s="148"/>
      <c r="FJ111" s="148"/>
      <c r="FK111" s="148"/>
      <c r="FL111" s="148"/>
      <c r="FM111" s="148"/>
      <c r="FN111" s="148"/>
      <c r="FO111" s="148"/>
      <c r="FP111" s="148"/>
      <c r="FQ111" s="148"/>
      <c r="FR111" s="148"/>
      <c r="FS111" s="148"/>
      <c r="FT111" s="148"/>
      <c r="FU111" s="148"/>
      <c r="FV111" s="148"/>
      <c r="FW111" s="148"/>
      <c r="FX111" s="148"/>
      <c r="FY111" s="148"/>
      <c r="FZ111" s="148"/>
      <c r="GA111" s="148"/>
      <c r="GB111" s="148"/>
      <c r="GC111" s="148"/>
      <c r="GD111" s="148"/>
      <c r="GE111" s="148"/>
      <c r="GF111" s="148"/>
      <c r="GG111" s="148"/>
      <c r="GH111" s="148"/>
      <c r="GI111" s="148"/>
      <c r="GJ111" s="148"/>
      <c r="GK111" s="148"/>
      <c r="GL111" s="148"/>
      <c r="GM111" s="148"/>
      <c r="GN111" s="148"/>
      <c r="GO111" s="148"/>
      <c r="GP111" s="148"/>
      <c r="GQ111" s="148"/>
      <c r="GR111" s="148"/>
      <c r="GS111" s="148"/>
      <c r="GT111" s="148"/>
      <c r="GU111" s="148"/>
      <c r="GV111" s="148"/>
      <c r="GW111" s="148"/>
      <c r="GX111" s="148"/>
      <c r="GY111" s="148"/>
      <c r="GZ111" s="148"/>
      <c r="HA111" s="148"/>
      <c r="HB111" s="148"/>
      <c r="HC111" s="148"/>
      <c r="HD111" s="148"/>
      <c r="HE111" s="148"/>
      <c r="HF111" s="148"/>
      <c r="HG111" s="148"/>
      <c r="HH111" s="148"/>
      <c r="HI111" s="148"/>
      <c r="HJ111" s="148"/>
      <c r="HK111" s="148"/>
      <c r="HL111" s="148"/>
      <c r="HM111" s="148"/>
      <c r="HN111" s="148"/>
      <c r="HO111" s="148"/>
      <c r="HP111" s="148"/>
      <c r="HQ111" s="148"/>
      <c r="HR111" s="148"/>
      <c r="HS111" s="148"/>
      <c r="HT111" s="148"/>
      <c r="HU111" s="148"/>
      <c r="HV111" s="148"/>
      <c r="HW111" s="148"/>
      <c r="HX111" s="148"/>
      <c r="HY111" s="148"/>
      <c r="HZ111" s="148"/>
      <c r="IA111" s="148"/>
      <c r="IB111" s="148"/>
      <c r="IC111" s="148"/>
      <c r="ID111" s="148"/>
      <c r="IE111" s="148"/>
      <c r="IF111" s="148"/>
      <c r="IG111" s="148"/>
      <c r="IH111" s="148"/>
      <c r="II111" s="148"/>
      <c r="IJ111" s="148"/>
      <c r="IK111" s="148"/>
      <c r="IL111" s="148"/>
      <c r="IM111" s="148"/>
      <c r="IN111" s="148"/>
      <c r="IO111" s="148"/>
      <c r="IP111" s="148"/>
      <c r="IQ111" s="148"/>
      <c r="IR111" s="148"/>
      <c r="IS111" s="148"/>
      <c r="IT111" s="148"/>
      <c r="IU111" s="148"/>
      <c r="IV111" s="148"/>
    </row>
    <row r="112" spans="1:256" s="149" customFormat="1" ht="48.4" customHeight="1">
      <c r="A112" s="139"/>
      <c r="B112" s="140"/>
      <c r="C112" s="141" t="s">
        <v>29</v>
      </c>
      <c r="D112" s="142">
        <f t="shared" si="5"/>
        <v>105</v>
      </c>
      <c r="E112" s="143" t="s">
        <v>162</v>
      </c>
      <c r="F112" s="144" t="s">
        <v>165</v>
      </c>
      <c r="G112" s="144"/>
      <c r="H112" s="145"/>
      <c r="I112" s="146"/>
      <c r="J112" s="147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  <c r="CJ112" s="148"/>
      <c r="CK112" s="148"/>
      <c r="CL112" s="148"/>
      <c r="CM112" s="148"/>
      <c r="CN112" s="148"/>
      <c r="CO112" s="148"/>
      <c r="CP112" s="148"/>
      <c r="CQ112" s="148"/>
      <c r="CR112" s="148"/>
      <c r="CS112" s="148"/>
      <c r="CT112" s="148"/>
      <c r="CU112" s="148"/>
      <c r="CV112" s="148"/>
      <c r="CW112" s="148"/>
      <c r="CX112" s="148"/>
      <c r="CY112" s="148"/>
      <c r="CZ112" s="148"/>
      <c r="DA112" s="148"/>
      <c r="DB112" s="148"/>
      <c r="DC112" s="148"/>
      <c r="DD112" s="148"/>
      <c r="DE112" s="148"/>
      <c r="DF112" s="148"/>
      <c r="DG112" s="148"/>
      <c r="DH112" s="148"/>
      <c r="DI112" s="148"/>
      <c r="DJ112" s="148"/>
      <c r="DK112" s="148"/>
      <c r="DL112" s="148"/>
      <c r="DM112" s="148"/>
      <c r="DN112" s="148"/>
      <c r="DO112" s="148"/>
      <c r="DP112" s="148"/>
      <c r="DQ112" s="148"/>
      <c r="DR112" s="148"/>
      <c r="DS112" s="148"/>
      <c r="DT112" s="148"/>
      <c r="DU112" s="148"/>
      <c r="DV112" s="148"/>
      <c r="DW112" s="148"/>
      <c r="DX112" s="148"/>
      <c r="DY112" s="148"/>
      <c r="DZ112" s="148"/>
      <c r="EA112" s="148"/>
      <c r="EB112" s="148"/>
      <c r="EC112" s="148"/>
      <c r="ED112" s="148"/>
      <c r="EE112" s="148"/>
      <c r="EF112" s="148"/>
      <c r="EG112" s="148"/>
      <c r="EH112" s="148"/>
      <c r="EI112" s="148"/>
      <c r="EJ112" s="148"/>
      <c r="EK112" s="148"/>
      <c r="EL112" s="148"/>
      <c r="EM112" s="148"/>
      <c r="EN112" s="148"/>
      <c r="EO112" s="148"/>
      <c r="EP112" s="148"/>
      <c r="EQ112" s="148"/>
      <c r="ER112" s="148"/>
      <c r="ES112" s="148"/>
      <c r="ET112" s="148"/>
      <c r="EU112" s="148"/>
      <c r="EV112" s="148"/>
      <c r="EW112" s="148"/>
      <c r="EX112" s="148"/>
      <c r="EY112" s="148"/>
      <c r="EZ112" s="148"/>
      <c r="FA112" s="148"/>
      <c r="FB112" s="148"/>
      <c r="FC112" s="148"/>
      <c r="FD112" s="148"/>
      <c r="FE112" s="148"/>
      <c r="FF112" s="148"/>
      <c r="FG112" s="148"/>
      <c r="FH112" s="148"/>
      <c r="FI112" s="148"/>
      <c r="FJ112" s="148"/>
      <c r="FK112" s="148"/>
      <c r="FL112" s="148"/>
      <c r="FM112" s="148"/>
      <c r="FN112" s="148"/>
      <c r="FO112" s="148"/>
      <c r="FP112" s="148"/>
      <c r="FQ112" s="148"/>
      <c r="FR112" s="148"/>
      <c r="FS112" s="148"/>
      <c r="FT112" s="148"/>
      <c r="FU112" s="148"/>
      <c r="FV112" s="148"/>
      <c r="FW112" s="148"/>
      <c r="FX112" s="148"/>
      <c r="FY112" s="148"/>
      <c r="FZ112" s="148"/>
      <c r="GA112" s="148"/>
      <c r="GB112" s="148"/>
      <c r="GC112" s="148"/>
      <c r="GD112" s="148"/>
      <c r="GE112" s="148"/>
      <c r="GF112" s="148"/>
      <c r="GG112" s="148"/>
      <c r="GH112" s="148"/>
      <c r="GI112" s="148"/>
      <c r="GJ112" s="148"/>
      <c r="GK112" s="148"/>
      <c r="GL112" s="148"/>
      <c r="GM112" s="148"/>
      <c r="GN112" s="148"/>
      <c r="GO112" s="148"/>
      <c r="GP112" s="148"/>
      <c r="GQ112" s="148"/>
      <c r="GR112" s="148"/>
      <c r="GS112" s="148"/>
      <c r="GT112" s="148"/>
      <c r="GU112" s="148"/>
      <c r="GV112" s="148"/>
      <c r="GW112" s="148"/>
      <c r="GX112" s="148"/>
      <c r="GY112" s="148"/>
      <c r="GZ112" s="148"/>
      <c r="HA112" s="148"/>
      <c r="HB112" s="148"/>
      <c r="HC112" s="148"/>
      <c r="HD112" s="148"/>
      <c r="HE112" s="148"/>
      <c r="HF112" s="148"/>
      <c r="HG112" s="148"/>
      <c r="HH112" s="148"/>
      <c r="HI112" s="148"/>
      <c r="HJ112" s="148"/>
      <c r="HK112" s="148"/>
      <c r="HL112" s="148"/>
      <c r="HM112" s="148"/>
      <c r="HN112" s="148"/>
      <c r="HO112" s="148"/>
      <c r="HP112" s="148"/>
      <c r="HQ112" s="148"/>
      <c r="HR112" s="148"/>
      <c r="HS112" s="148"/>
      <c r="HT112" s="148"/>
      <c r="HU112" s="148"/>
      <c r="HV112" s="148"/>
      <c r="HW112" s="148"/>
      <c r="HX112" s="148"/>
      <c r="HY112" s="148"/>
      <c r="HZ112" s="148"/>
      <c r="IA112" s="148"/>
      <c r="IB112" s="148"/>
      <c r="IC112" s="148"/>
      <c r="ID112" s="148"/>
      <c r="IE112" s="148"/>
      <c r="IF112" s="148"/>
      <c r="IG112" s="148"/>
      <c r="IH112" s="148"/>
      <c r="II112" s="148"/>
      <c r="IJ112" s="148"/>
      <c r="IK112" s="148"/>
      <c r="IL112" s="148"/>
      <c r="IM112" s="148"/>
      <c r="IN112" s="148"/>
      <c r="IO112" s="148"/>
      <c r="IP112" s="148"/>
      <c r="IQ112" s="148"/>
      <c r="IR112" s="148"/>
      <c r="IS112" s="148"/>
      <c r="IT112" s="148"/>
      <c r="IU112" s="148"/>
      <c r="IV112" s="148"/>
    </row>
    <row r="113" spans="1:256" ht="31.15" customHeight="1">
      <c r="A113" s="226"/>
      <c r="B113" s="227" t="s">
        <v>18</v>
      </c>
      <c r="C113" s="228" t="s">
        <v>166</v>
      </c>
      <c r="D113" s="229">
        <f>SUM(D107+1)</f>
        <v>101</v>
      </c>
      <c r="E113" s="230" t="s">
        <v>167</v>
      </c>
      <c r="F113" s="231"/>
      <c r="G113" s="231" t="s">
        <v>168</v>
      </c>
      <c r="H113" s="231"/>
      <c r="I113" s="232"/>
      <c r="J113" s="233" t="s">
        <v>169</v>
      </c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</row>
    <row r="114" spans="1:256" s="149" customFormat="1" ht="94.9" customHeight="1">
      <c r="A114" s="139"/>
      <c r="B114" s="140"/>
      <c r="C114" s="141" t="s">
        <v>166</v>
      </c>
      <c r="D114" s="142">
        <f t="shared" si="5"/>
        <v>102</v>
      </c>
      <c r="E114" s="143" t="s">
        <v>158</v>
      </c>
      <c r="F114" s="144"/>
      <c r="G114" s="144" t="s">
        <v>51</v>
      </c>
      <c r="H114" s="144"/>
      <c r="I114" s="146"/>
      <c r="J114" s="147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  <c r="CJ114" s="148"/>
      <c r="CK114" s="148"/>
      <c r="CL114" s="148"/>
      <c r="CM114" s="148"/>
      <c r="CN114" s="148"/>
      <c r="CO114" s="148"/>
      <c r="CP114" s="148"/>
      <c r="CQ114" s="148"/>
      <c r="CR114" s="148"/>
      <c r="CS114" s="148"/>
      <c r="CT114" s="148"/>
      <c r="CU114" s="148"/>
      <c r="CV114" s="148"/>
      <c r="CW114" s="148"/>
      <c r="CX114" s="148"/>
      <c r="CY114" s="148"/>
      <c r="CZ114" s="148"/>
      <c r="DA114" s="148"/>
      <c r="DB114" s="148"/>
      <c r="DC114" s="148"/>
      <c r="DD114" s="148"/>
      <c r="DE114" s="148"/>
      <c r="DF114" s="148"/>
      <c r="DG114" s="148"/>
      <c r="DH114" s="148"/>
      <c r="DI114" s="148"/>
      <c r="DJ114" s="148"/>
      <c r="DK114" s="148"/>
      <c r="DL114" s="148"/>
      <c r="DM114" s="148"/>
      <c r="DN114" s="148"/>
      <c r="DO114" s="148"/>
      <c r="DP114" s="148"/>
      <c r="DQ114" s="148"/>
      <c r="DR114" s="148"/>
      <c r="DS114" s="148"/>
      <c r="DT114" s="148"/>
      <c r="DU114" s="148"/>
      <c r="DV114" s="148"/>
      <c r="DW114" s="148"/>
      <c r="DX114" s="148"/>
      <c r="DY114" s="148"/>
      <c r="DZ114" s="148"/>
      <c r="EA114" s="148"/>
      <c r="EB114" s="148"/>
      <c r="EC114" s="148"/>
      <c r="ED114" s="148"/>
      <c r="EE114" s="148"/>
      <c r="EF114" s="148"/>
      <c r="EG114" s="148"/>
      <c r="EH114" s="148"/>
      <c r="EI114" s="148"/>
      <c r="EJ114" s="148"/>
      <c r="EK114" s="148"/>
      <c r="EL114" s="148"/>
      <c r="EM114" s="148"/>
      <c r="EN114" s="148"/>
      <c r="EO114" s="148"/>
      <c r="EP114" s="148"/>
      <c r="EQ114" s="148"/>
      <c r="ER114" s="148"/>
      <c r="ES114" s="148"/>
      <c r="ET114" s="148"/>
      <c r="EU114" s="148"/>
      <c r="EV114" s="148"/>
      <c r="EW114" s="148"/>
      <c r="EX114" s="148"/>
      <c r="EY114" s="148"/>
      <c r="EZ114" s="148"/>
      <c r="FA114" s="148"/>
      <c r="FB114" s="148"/>
      <c r="FC114" s="148"/>
      <c r="FD114" s="148"/>
      <c r="FE114" s="148"/>
      <c r="FF114" s="148"/>
      <c r="FG114" s="148"/>
      <c r="FH114" s="148"/>
      <c r="FI114" s="148"/>
      <c r="FJ114" s="148"/>
      <c r="FK114" s="148"/>
      <c r="FL114" s="148"/>
      <c r="FM114" s="148"/>
      <c r="FN114" s="148"/>
      <c r="FO114" s="148"/>
      <c r="FP114" s="148"/>
      <c r="FQ114" s="148"/>
      <c r="FR114" s="148"/>
      <c r="FS114" s="148"/>
      <c r="FT114" s="148"/>
      <c r="FU114" s="148"/>
      <c r="FV114" s="148"/>
      <c r="FW114" s="148"/>
      <c r="FX114" s="148"/>
      <c r="FY114" s="148"/>
      <c r="FZ114" s="148"/>
      <c r="GA114" s="148"/>
      <c r="GB114" s="148"/>
      <c r="GC114" s="148"/>
      <c r="GD114" s="148"/>
      <c r="GE114" s="148"/>
      <c r="GF114" s="148"/>
      <c r="GG114" s="148"/>
      <c r="GH114" s="148"/>
      <c r="GI114" s="148"/>
      <c r="GJ114" s="148"/>
      <c r="GK114" s="148"/>
      <c r="GL114" s="148"/>
      <c r="GM114" s="148"/>
      <c r="GN114" s="148"/>
      <c r="GO114" s="148"/>
      <c r="GP114" s="148"/>
      <c r="GQ114" s="148"/>
      <c r="GR114" s="148"/>
      <c r="GS114" s="148"/>
      <c r="GT114" s="148"/>
      <c r="GU114" s="148"/>
      <c r="GV114" s="148"/>
      <c r="GW114" s="148"/>
      <c r="GX114" s="148"/>
      <c r="GY114" s="148"/>
      <c r="GZ114" s="148"/>
      <c r="HA114" s="148"/>
      <c r="HB114" s="148"/>
      <c r="HC114" s="148"/>
      <c r="HD114" s="148"/>
      <c r="HE114" s="148"/>
      <c r="HF114" s="148"/>
      <c r="HG114" s="148"/>
      <c r="HH114" s="148"/>
      <c r="HI114" s="148"/>
      <c r="HJ114" s="148"/>
      <c r="HK114" s="148"/>
      <c r="HL114" s="148"/>
      <c r="HM114" s="148"/>
      <c r="HN114" s="148"/>
      <c r="HO114" s="148"/>
      <c r="HP114" s="148"/>
      <c r="HQ114" s="148"/>
      <c r="HR114" s="148"/>
      <c r="HS114" s="148"/>
      <c r="HT114" s="148"/>
      <c r="HU114" s="148"/>
      <c r="HV114" s="148"/>
      <c r="HW114" s="148"/>
      <c r="HX114" s="148"/>
      <c r="HY114" s="148"/>
      <c r="HZ114" s="148"/>
      <c r="IA114" s="148"/>
      <c r="IB114" s="148"/>
      <c r="IC114" s="148"/>
      <c r="ID114" s="148"/>
      <c r="IE114" s="148"/>
      <c r="IF114" s="148"/>
      <c r="IG114" s="148"/>
      <c r="IH114" s="148"/>
      <c r="II114" s="148"/>
      <c r="IJ114" s="148"/>
      <c r="IK114" s="148"/>
      <c r="IL114" s="148"/>
      <c r="IM114" s="148"/>
      <c r="IN114" s="148"/>
      <c r="IO114" s="148"/>
      <c r="IP114" s="148"/>
      <c r="IQ114" s="148"/>
      <c r="IR114" s="148"/>
      <c r="IS114" s="148"/>
      <c r="IT114" s="148"/>
      <c r="IU114" s="148"/>
      <c r="IV114" s="148"/>
    </row>
    <row r="115" spans="1:256" s="149" customFormat="1" ht="96.6" customHeight="1">
      <c r="A115" s="139"/>
      <c r="B115" s="140" t="s">
        <v>18</v>
      </c>
      <c r="C115" s="141" t="s">
        <v>166</v>
      </c>
      <c r="D115" s="142">
        <f t="shared" si="5"/>
        <v>103</v>
      </c>
      <c r="E115" s="143" t="s">
        <v>160</v>
      </c>
      <c r="F115" s="144"/>
      <c r="G115" s="144" t="s">
        <v>51</v>
      </c>
      <c r="H115" s="144"/>
      <c r="I115" s="146"/>
      <c r="J115" s="147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  <c r="CJ115" s="148"/>
      <c r="CK115" s="148"/>
      <c r="CL115" s="148"/>
      <c r="CM115" s="148"/>
      <c r="CN115" s="148"/>
      <c r="CO115" s="148"/>
      <c r="CP115" s="148"/>
      <c r="CQ115" s="148"/>
      <c r="CR115" s="148"/>
      <c r="CS115" s="148"/>
      <c r="CT115" s="148"/>
      <c r="CU115" s="148"/>
      <c r="CV115" s="148"/>
      <c r="CW115" s="148"/>
      <c r="CX115" s="148"/>
      <c r="CY115" s="148"/>
      <c r="CZ115" s="148"/>
      <c r="DA115" s="148"/>
      <c r="DB115" s="148"/>
      <c r="DC115" s="148"/>
      <c r="DD115" s="148"/>
      <c r="DE115" s="148"/>
      <c r="DF115" s="148"/>
      <c r="DG115" s="148"/>
      <c r="DH115" s="148"/>
      <c r="DI115" s="148"/>
      <c r="DJ115" s="148"/>
      <c r="DK115" s="148"/>
      <c r="DL115" s="148"/>
      <c r="DM115" s="148"/>
      <c r="DN115" s="148"/>
      <c r="DO115" s="148"/>
      <c r="DP115" s="148"/>
      <c r="DQ115" s="148"/>
      <c r="DR115" s="148"/>
      <c r="DS115" s="148"/>
      <c r="DT115" s="148"/>
      <c r="DU115" s="148"/>
      <c r="DV115" s="148"/>
      <c r="DW115" s="148"/>
      <c r="DX115" s="148"/>
      <c r="DY115" s="148"/>
      <c r="DZ115" s="148"/>
      <c r="EA115" s="148"/>
      <c r="EB115" s="148"/>
      <c r="EC115" s="148"/>
      <c r="ED115" s="148"/>
      <c r="EE115" s="148"/>
      <c r="EF115" s="148"/>
      <c r="EG115" s="148"/>
      <c r="EH115" s="148"/>
      <c r="EI115" s="148"/>
      <c r="EJ115" s="148"/>
      <c r="EK115" s="148"/>
      <c r="EL115" s="148"/>
      <c r="EM115" s="148"/>
      <c r="EN115" s="148"/>
      <c r="EO115" s="148"/>
      <c r="EP115" s="148"/>
      <c r="EQ115" s="148"/>
      <c r="ER115" s="148"/>
      <c r="ES115" s="148"/>
      <c r="ET115" s="148"/>
      <c r="EU115" s="148"/>
      <c r="EV115" s="148"/>
      <c r="EW115" s="148"/>
      <c r="EX115" s="148"/>
      <c r="EY115" s="148"/>
      <c r="EZ115" s="148"/>
      <c r="FA115" s="148"/>
      <c r="FB115" s="148"/>
      <c r="FC115" s="148"/>
      <c r="FD115" s="148"/>
      <c r="FE115" s="148"/>
      <c r="FF115" s="148"/>
      <c r="FG115" s="148"/>
      <c r="FH115" s="148"/>
      <c r="FI115" s="148"/>
      <c r="FJ115" s="148"/>
      <c r="FK115" s="148"/>
      <c r="FL115" s="148"/>
      <c r="FM115" s="148"/>
      <c r="FN115" s="148"/>
      <c r="FO115" s="148"/>
      <c r="FP115" s="148"/>
      <c r="FQ115" s="148"/>
      <c r="FR115" s="148"/>
      <c r="FS115" s="148"/>
      <c r="FT115" s="148"/>
      <c r="FU115" s="148"/>
      <c r="FV115" s="148"/>
      <c r="FW115" s="148"/>
      <c r="FX115" s="148"/>
      <c r="FY115" s="148"/>
      <c r="FZ115" s="148"/>
      <c r="GA115" s="148"/>
      <c r="GB115" s="148"/>
      <c r="GC115" s="148"/>
      <c r="GD115" s="148"/>
      <c r="GE115" s="148"/>
      <c r="GF115" s="148"/>
      <c r="GG115" s="148"/>
      <c r="GH115" s="148"/>
      <c r="GI115" s="148"/>
      <c r="GJ115" s="148"/>
      <c r="GK115" s="148"/>
      <c r="GL115" s="148"/>
      <c r="GM115" s="148"/>
      <c r="GN115" s="148"/>
      <c r="GO115" s="148"/>
      <c r="GP115" s="148"/>
      <c r="GQ115" s="148"/>
      <c r="GR115" s="148"/>
      <c r="GS115" s="148"/>
      <c r="GT115" s="148"/>
      <c r="GU115" s="148"/>
      <c r="GV115" s="148"/>
      <c r="GW115" s="148"/>
      <c r="GX115" s="148"/>
      <c r="GY115" s="148"/>
      <c r="GZ115" s="148"/>
      <c r="HA115" s="148"/>
      <c r="HB115" s="148"/>
      <c r="HC115" s="148"/>
      <c r="HD115" s="148"/>
      <c r="HE115" s="148"/>
      <c r="HF115" s="148"/>
      <c r="HG115" s="148"/>
      <c r="HH115" s="148"/>
      <c r="HI115" s="148"/>
      <c r="HJ115" s="148"/>
      <c r="HK115" s="148"/>
      <c r="HL115" s="148"/>
      <c r="HM115" s="148"/>
      <c r="HN115" s="148"/>
      <c r="HO115" s="148"/>
      <c r="HP115" s="148"/>
      <c r="HQ115" s="148"/>
      <c r="HR115" s="148"/>
      <c r="HS115" s="148"/>
      <c r="HT115" s="148"/>
      <c r="HU115" s="148"/>
      <c r="HV115" s="148"/>
      <c r="HW115" s="148"/>
      <c r="HX115" s="148"/>
      <c r="HY115" s="148"/>
      <c r="HZ115" s="148"/>
      <c r="IA115" s="148"/>
      <c r="IB115" s="148"/>
      <c r="IC115" s="148"/>
      <c r="ID115" s="148"/>
      <c r="IE115" s="148"/>
      <c r="IF115" s="148"/>
      <c r="IG115" s="148"/>
      <c r="IH115" s="148"/>
      <c r="II115" s="148"/>
      <c r="IJ115" s="148"/>
      <c r="IK115" s="148"/>
      <c r="IL115" s="148"/>
      <c r="IM115" s="148"/>
      <c r="IN115" s="148"/>
      <c r="IO115" s="148"/>
      <c r="IP115" s="148"/>
      <c r="IQ115" s="148"/>
      <c r="IR115" s="148"/>
      <c r="IS115" s="148"/>
      <c r="IT115" s="148"/>
      <c r="IU115" s="148"/>
      <c r="IV115" s="148"/>
    </row>
    <row r="116" spans="1:256" s="149" customFormat="1" ht="70.900000000000006" customHeight="1">
      <c r="A116" s="139"/>
      <c r="B116" s="140" t="s">
        <v>18</v>
      </c>
      <c r="C116" s="141" t="s">
        <v>166</v>
      </c>
      <c r="D116" s="142">
        <f t="shared" si="5"/>
        <v>104</v>
      </c>
      <c r="E116" s="143" t="s">
        <v>170</v>
      </c>
      <c r="F116" s="144"/>
      <c r="G116" s="144" t="s">
        <v>51</v>
      </c>
      <c r="H116" s="144"/>
      <c r="I116" s="146"/>
      <c r="J116" s="147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  <c r="CJ116" s="148"/>
      <c r="CK116" s="148"/>
      <c r="CL116" s="148"/>
      <c r="CM116" s="148"/>
      <c r="CN116" s="148"/>
      <c r="CO116" s="148"/>
      <c r="CP116" s="148"/>
      <c r="CQ116" s="148"/>
      <c r="CR116" s="148"/>
      <c r="CS116" s="148"/>
      <c r="CT116" s="148"/>
      <c r="CU116" s="148"/>
      <c r="CV116" s="148"/>
      <c r="CW116" s="148"/>
      <c r="CX116" s="148"/>
      <c r="CY116" s="148"/>
      <c r="CZ116" s="148"/>
      <c r="DA116" s="148"/>
      <c r="DB116" s="148"/>
      <c r="DC116" s="148"/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  <c r="DN116" s="148"/>
      <c r="DO116" s="148"/>
      <c r="DP116" s="148"/>
      <c r="DQ116" s="148"/>
      <c r="DR116" s="148"/>
      <c r="DS116" s="148"/>
      <c r="DT116" s="148"/>
      <c r="DU116" s="148"/>
      <c r="DV116" s="148"/>
      <c r="DW116" s="148"/>
      <c r="DX116" s="148"/>
      <c r="DY116" s="148"/>
      <c r="DZ116" s="148"/>
      <c r="EA116" s="148"/>
      <c r="EB116" s="148"/>
      <c r="EC116" s="148"/>
      <c r="ED116" s="148"/>
      <c r="EE116" s="148"/>
      <c r="EF116" s="148"/>
      <c r="EG116" s="148"/>
      <c r="EH116" s="148"/>
      <c r="EI116" s="148"/>
      <c r="EJ116" s="148"/>
      <c r="EK116" s="148"/>
      <c r="EL116" s="148"/>
      <c r="EM116" s="148"/>
      <c r="EN116" s="148"/>
      <c r="EO116" s="148"/>
      <c r="EP116" s="148"/>
      <c r="EQ116" s="148"/>
      <c r="ER116" s="148"/>
      <c r="ES116" s="148"/>
      <c r="ET116" s="148"/>
      <c r="EU116" s="148"/>
      <c r="EV116" s="148"/>
      <c r="EW116" s="148"/>
      <c r="EX116" s="148"/>
      <c r="EY116" s="148"/>
      <c r="EZ116" s="148"/>
      <c r="FA116" s="148"/>
      <c r="FB116" s="148"/>
      <c r="FC116" s="148"/>
      <c r="FD116" s="148"/>
      <c r="FE116" s="148"/>
      <c r="FF116" s="148"/>
      <c r="FG116" s="148"/>
      <c r="FH116" s="148"/>
      <c r="FI116" s="148"/>
      <c r="FJ116" s="148"/>
      <c r="FK116" s="148"/>
      <c r="FL116" s="148"/>
      <c r="FM116" s="148"/>
      <c r="FN116" s="148"/>
      <c r="FO116" s="148"/>
      <c r="FP116" s="148"/>
      <c r="FQ116" s="148"/>
      <c r="FR116" s="148"/>
      <c r="FS116" s="148"/>
      <c r="FT116" s="148"/>
      <c r="FU116" s="148"/>
      <c r="FV116" s="148"/>
      <c r="FW116" s="148"/>
      <c r="FX116" s="148"/>
      <c r="FY116" s="148"/>
      <c r="FZ116" s="148"/>
      <c r="GA116" s="148"/>
      <c r="GB116" s="148"/>
      <c r="GC116" s="148"/>
      <c r="GD116" s="148"/>
      <c r="GE116" s="148"/>
      <c r="GF116" s="148"/>
      <c r="GG116" s="148"/>
      <c r="GH116" s="148"/>
      <c r="GI116" s="148"/>
      <c r="GJ116" s="148"/>
      <c r="GK116" s="148"/>
      <c r="GL116" s="148"/>
      <c r="GM116" s="148"/>
      <c r="GN116" s="148"/>
      <c r="GO116" s="148"/>
      <c r="GP116" s="148"/>
      <c r="GQ116" s="148"/>
      <c r="GR116" s="148"/>
      <c r="GS116" s="148"/>
      <c r="GT116" s="148"/>
      <c r="GU116" s="148"/>
      <c r="GV116" s="148"/>
      <c r="GW116" s="148"/>
      <c r="GX116" s="148"/>
      <c r="GY116" s="148"/>
      <c r="GZ116" s="148"/>
      <c r="HA116" s="148"/>
      <c r="HB116" s="148"/>
      <c r="HC116" s="148"/>
      <c r="HD116" s="148"/>
      <c r="HE116" s="148"/>
      <c r="HF116" s="148"/>
      <c r="HG116" s="148"/>
      <c r="HH116" s="148"/>
      <c r="HI116" s="148"/>
      <c r="HJ116" s="148"/>
      <c r="HK116" s="148"/>
      <c r="HL116" s="148"/>
      <c r="HM116" s="148"/>
      <c r="HN116" s="148"/>
      <c r="HO116" s="148"/>
      <c r="HP116" s="148"/>
      <c r="HQ116" s="148"/>
      <c r="HR116" s="148"/>
      <c r="HS116" s="148"/>
      <c r="HT116" s="148"/>
      <c r="HU116" s="148"/>
      <c r="HV116" s="148"/>
      <c r="HW116" s="148"/>
      <c r="HX116" s="148"/>
      <c r="HY116" s="148"/>
      <c r="HZ116" s="148"/>
      <c r="IA116" s="148"/>
      <c r="IB116" s="148"/>
      <c r="IC116" s="148"/>
      <c r="ID116" s="148"/>
      <c r="IE116" s="148"/>
      <c r="IF116" s="148"/>
      <c r="IG116" s="148"/>
      <c r="IH116" s="148"/>
      <c r="II116" s="148"/>
      <c r="IJ116" s="148"/>
      <c r="IK116" s="148"/>
      <c r="IL116" s="148"/>
      <c r="IM116" s="148"/>
      <c r="IN116" s="148"/>
      <c r="IO116" s="148"/>
      <c r="IP116" s="148"/>
      <c r="IQ116" s="148"/>
      <c r="IR116" s="148"/>
      <c r="IS116" s="148"/>
      <c r="IT116" s="148"/>
      <c r="IU116" s="148"/>
      <c r="IV116" s="148"/>
    </row>
    <row r="117" spans="1:256" s="149" customFormat="1" ht="51.4" customHeight="1">
      <c r="A117" s="139"/>
      <c r="B117" s="140"/>
      <c r="C117" s="141" t="s">
        <v>166</v>
      </c>
      <c r="D117" s="142">
        <f t="shared" si="5"/>
        <v>105</v>
      </c>
      <c r="E117" s="143" t="s">
        <v>162</v>
      </c>
      <c r="F117" s="144"/>
      <c r="G117" s="144" t="s">
        <v>51</v>
      </c>
      <c r="H117" s="144"/>
      <c r="I117" s="146"/>
      <c r="J117" s="147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48"/>
      <c r="CO117" s="148"/>
      <c r="CP117" s="148"/>
      <c r="CQ117" s="148"/>
      <c r="CR117" s="148"/>
      <c r="CS117" s="148"/>
      <c r="CT117" s="148"/>
      <c r="CU117" s="148"/>
      <c r="CV117" s="148"/>
      <c r="CW117" s="148"/>
      <c r="CX117" s="148"/>
      <c r="CY117" s="148"/>
      <c r="CZ117" s="148"/>
      <c r="DA117" s="148"/>
      <c r="DB117" s="148"/>
      <c r="DC117" s="148"/>
      <c r="DD117" s="148"/>
      <c r="DE117" s="148"/>
      <c r="DF117" s="148"/>
      <c r="DG117" s="148"/>
      <c r="DH117" s="148"/>
      <c r="DI117" s="148"/>
      <c r="DJ117" s="148"/>
      <c r="DK117" s="148"/>
      <c r="DL117" s="148"/>
      <c r="DM117" s="148"/>
      <c r="DN117" s="148"/>
      <c r="DO117" s="148"/>
      <c r="DP117" s="148"/>
      <c r="DQ117" s="148"/>
      <c r="DR117" s="148"/>
      <c r="DS117" s="148"/>
      <c r="DT117" s="148"/>
      <c r="DU117" s="148"/>
      <c r="DV117" s="148"/>
      <c r="DW117" s="148"/>
      <c r="DX117" s="148"/>
      <c r="DY117" s="148"/>
      <c r="DZ117" s="148"/>
      <c r="EA117" s="148"/>
      <c r="EB117" s="148"/>
      <c r="EC117" s="148"/>
      <c r="ED117" s="148"/>
      <c r="EE117" s="148"/>
      <c r="EF117" s="148"/>
      <c r="EG117" s="148"/>
      <c r="EH117" s="148"/>
      <c r="EI117" s="148"/>
      <c r="EJ117" s="148"/>
      <c r="EK117" s="148"/>
      <c r="EL117" s="148"/>
      <c r="EM117" s="148"/>
      <c r="EN117" s="148"/>
      <c r="EO117" s="148"/>
      <c r="EP117" s="148"/>
      <c r="EQ117" s="148"/>
      <c r="ER117" s="148"/>
      <c r="ES117" s="148"/>
      <c r="ET117" s="148"/>
      <c r="EU117" s="148"/>
      <c r="EV117" s="148"/>
      <c r="EW117" s="148"/>
      <c r="EX117" s="148"/>
      <c r="EY117" s="148"/>
      <c r="EZ117" s="148"/>
      <c r="FA117" s="148"/>
      <c r="FB117" s="148"/>
      <c r="FC117" s="148"/>
      <c r="FD117" s="148"/>
      <c r="FE117" s="148"/>
      <c r="FF117" s="148"/>
      <c r="FG117" s="148"/>
      <c r="FH117" s="148"/>
      <c r="FI117" s="148"/>
      <c r="FJ117" s="148"/>
      <c r="FK117" s="148"/>
      <c r="FL117" s="148"/>
      <c r="FM117" s="148"/>
      <c r="FN117" s="148"/>
      <c r="FO117" s="148"/>
      <c r="FP117" s="148"/>
      <c r="FQ117" s="148"/>
      <c r="FR117" s="148"/>
      <c r="FS117" s="148"/>
      <c r="FT117" s="148"/>
      <c r="FU117" s="148"/>
      <c r="FV117" s="148"/>
      <c r="FW117" s="148"/>
      <c r="FX117" s="148"/>
      <c r="FY117" s="148"/>
      <c r="FZ117" s="148"/>
      <c r="GA117" s="148"/>
      <c r="GB117" s="148"/>
      <c r="GC117" s="148"/>
      <c r="GD117" s="148"/>
      <c r="GE117" s="148"/>
      <c r="GF117" s="148"/>
      <c r="GG117" s="148"/>
      <c r="GH117" s="148"/>
      <c r="GI117" s="148"/>
      <c r="GJ117" s="148"/>
      <c r="GK117" s="148"/>
      <c r="GL117" s="148"/>
      <c r="GM117" s="148"/>
      <c r="GN117" s="148"/>
      <c r="GO117" s="148"/>
      <c r="GP117" s="148"/>
      <c r="GQ117" s="148"/>
      <c r="GR117" s="148"/>
      <c r="GS117" s="148"/>
      <c r="GT117" s="148"/>
      <c r="GU117" s="148"/>
      <c r="GV117" s="148"/>
      <c r="GW117" s="148"/>
      <c r="GX117" s="148"/>
      <c r="GY117" s="148"/>
      <c r="GZ117" s="148"/>
      <c r="HA117" s="148"/>
      <c r="HB117" s="148"/>
      <c r="HC117" s="148"/>
      <c r="HD117" s="148"/>
      <c r="HE117" s="148"/>
      <c r="HF117" s="148"/>
      <c r="HG117" s="148"/>
      <c r="HH117" s="148"/>
      <c r="HI117" s="148"/>
      <c r="HJ117" s="148"/>
      <c r="HK117" s="148"/>
      <c r="HL117" s="148"/>
      <c r="HM117" s="148"/>
      <c r="HN117" s="148"/>
      <c r="HO117" s="148"/>
      <c r="HP117" s="148"/>
      <c r="HQ117" s="148"/>
      <c r="HR117" s="148"/>
      <c r="HS117" s="148"/>
      <c r="HT117" s="148"/>
      <c r="HU117" s="148"/>
      <c r="HV117" s="148"/>
      <c r="HW117" s="148"/>
      <c r="HX117" s="148"/>
      <c r="HY117" s="148"/>
      <c r="HZ117" s="148"/>
      <c r="IA117" s="148"/>
      <c r="IB117" s="148"/>
      <c r="IC117" s="148"/>
      <c r="ID117" s="148"/>
      <c r="IE117" s="148"/>
      <c r="IF117" s="148"/>
      <c r="IG117" s="148"/>
      <c r="IH117" s="148"/>
      <c r="II117" s="148"/>
      <c r="IJ117" s="148"/>
      <c r="IK117" s="148"/>
      <c r="IL117" s="148"/>
      <c r="IM117" s="148"/>
      <c r="IN117" s="148"/>
      <c r="IO117" s="148"/>
      <c r="IP117" s="148"/>
      <c r="IQ117" s="148"/>
      <c r="IR117" s="148"/>
      <c r="IS117" s="148"/>
      <c r="IT117" s="148"/>
      <c r="IU117" s="148"/>
      <c r="IV117" s="148"/>
    </row>
    <row r="118" spans="1:256" ht="31.15" customHeight="1">
      <c r="A118" s="226"/>
      <c r="B118" s="227" t="s">
        <v>18</v>
      </c>
      <c r="C118" s="228" t="s">
        <v>166</v>
      </c>
      <c r="D118" s="229">
        <f>SUM(D112+1)</f>
        <v>106</v>
      </c>
      <c r="E118" s="230" t="s">
        <v>171</v>
      </c>
      <c r="F118" s="231"/>
      <c r="G118" s="234"/>
      <c r="H118" s="231" t="s">
        <v>31</v>
      </c>
      <c r="I118" s="232"/>
      <c r="J118" s="233" t="s">
        <v>169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</row>
    <row r="119" spans="1:256" s="149" customFormat="1" ht="46.5" customHeight="1">
      <c r="A119" s="139"/>
      <c r="B119" s="140"/>
      <c r="C119" s="141" t="s">
        <v>166</v>
      </c>
      <c r="D119" s="142">
        <f t="shared" si="5"/>
        <v>107</v>
      </c>
      <c r="E119" s="143" t="s">
        <v>158</v>
      </c>
      <c r="F119" s="144"/>
      <c r="G119" s="150"/>
      <c r="H119" s="144" t="s">
        <v>31</v>
      </c>
      <c r="I119" s="146"/>
      <c r="J119" s="147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  <c r="CJ119" s="148"/>
      <c r="CK119" s="148"/>
      <c r="CL119" s="148"/>
      <c r="CM119" s="148"/>
      <c r="CN119" s="148"/>
      <c r="CO119" s="148"/>
      <c r="CP119" s="148"/>
      <c r="CQ119" s="148"/>
      <c r="CR119" s="148"/>
      <c r="CS119" s="148"/>
      <c r="CT119" s="148"/>
      <c r="CU119" s="148"/>
      <c r="CV119" s="148"/>
      <c r="CW119" s="148"/>
      <c r="CX119" s="148"/>
      <c r="CY119" s="148"/>
      <c r="CZ119" s="148"/>
      <c r="DA119" s="148"/>
      <c r="DB119" s="148"/>
      <c r="DC119" s="148"/>
      <c r="DD119" s="148"/>
      <c r="DE119" s="148"/>
      <c r="DF119" s="148"/>
      <c r="DG119" s="148"/>
      <c r="DH119" s="148"/>
      <c r="DI119" s="148"/>
      <c r="DJ119" s="148"/>
      <c r="DK119" s="148"/>
      <c r="DL119" s="148"/>
      <c r="DM119" s="148"/>
      <c r="DN119" s="148"/>
      <c r="DO119" s="148"/>
      <c r="DP119" s="148"/>
      <c r="DQ119" s="148"/>
      <c r="DR119" s="148"/>
      <c r="DS119" s="148"/>
      <c r="DT119" s="148"/>
      <c r="DU119" s="148"/>
      <c r="DV119" s="148"/>
      <c r="DW119" s="148"/>
      <c r="DX119" s="148"/>
      <c r="DY119" s="148"/>
      <c r="DZ119" s="148"/>
      <c r="EA119" s="148"/>
      <c r="EB119" s="148"/>
      <c r="EC119" s="148"/>
      <c r="ED119" s="148"/>
      <c r="EE119" s="148"/>
      <c r="EF119" s="148"/>
      <c r="EG119" s="148"/>
      <c r="EH119" s="148"/>
      <c r="EI119" s="148"/>
      <c r="EJ119" s="148"/>
      <c r="EK119" s="148"/>
      <c r="EL119" s="148"/>
      <c r="EM119" s="148"/>
      <c r="EN119" s="148"/>
      <c r="EO119" s="148"/>
      <c r="EP119" s="148"/>
      <c r="EQ119" s="148"/>
      <c r="ER119" s="148"/>
      <c r="ES119" s="148"/>
      <c r="ET119" s="148"/>
      <c r="EU119" s="148"/>
      <c r="EV119" s="148"/>
      <c r="EW119" s="148"/>
      <c r="EX119" s="148"/>
      <c r="EY119" s="148"/>
      <c r="EZ119" s="148"/>
      <c r="FA119" s="148"/>
      <c r="FB119" s="148"/>
      <c r="FC119" s="148"/>
      <c r="FD119" s="148"/>
      <c r="FE119" s="148"/>
      <c r="FF119" s="148"/>
      <c r="FG119" s="148"/>
      <c r="FH119" s="148"/>
      <c r="FI119" s="148"/>
      <c r="FJ119" s="148"/>
      <c r="FK119" s="148"/>
      <c r="FL119" s="148"/>
      <c r="FM119" s="148"/>
      <c r="FN119" s="148"/>
      <c r="FO119" s="148"/>
      <c r="FP119" s="148"/>
      <c r="FQ119" s="148"/>
      <c r="FR119" s="148"/>
      <c r="FS119" s="148"/>
      <c r="FT119" s="148"/>
      <c r="FU119" s="148"/>
      <c r="FV119" s="148"/>
      <c r="FW119" s="148"/>
      <c r="FX119" s="148"/>
      <c r="FY119" s="148"/>
      <c r="FZ119" s="148"/>
      <c r="GA119" s="148"/>
      <c r="GB119" s="148"/>
      <c r="GC119" s="148"/>
      <c r="GD119" s="148"/>
      <c r="GE119" s="148"/>
      <c r="GF119" s="148"/>
      <c r="GG119" s="148"/>
      <c r="GH119" s="148"/>
      <c r="GI119" s="148"/>
      <c r="GJ119" s="148"/>
      <c r="GK119" s="148"/>
      <c r="GL119" s="148"/>
      <c r="GM119" s="148"/>
      <c r="GN119" s="148"/>
      <c r="GO119" s="148"/>
      <c r="GP119" s="148"/>
      <c r="GQ119" s="148"/>
      <c r="GR119" s="148"/>
      <c r="GS119" s="148"/>
      <c r="GT119" s="148"/>
      <c r="GU119" s="148"/>
      <c r="GV119" s="148"/>
      <c r="GW119" s="148"/>
      <c r="GX119" s="148"/>
      <c r="GY119" s="148"/>
      <c r="GZ119" s="148"/>
      <c r="HA119" s="148"/>
      <c r="HB119" s="148"/>
      <c r="HC119" s="148"/>
      <c r="HD119" s="148"/>
      <c r="HE119" s="148"/>
      <c r="HF119" s="148"/>
      <c r="HG119" s="148"/>
      <c r="HH119" s="148"/>
      <c r="HI119" s="148"/>
      <c r="HJ119" s="148"/>
      <c r="HK119" s="148"/>
      <c r="HL119" s="148"/>
      <c r="HM119" s="148"/>
      <c r="HN119" s="148"/>
      <c r="HO119" s="148"/>
      <c r="HP119" s="148"/>
      <c r="HQ119" s="148"/>
      <c r="HR119" s="148"/>
      <c r="HS119" s="148"/>
      <c r="HT119" s="148"/>
      <c r="HU119" s="148"/>
      <c r="HV119" s="148"/>
      <c r="HW119" s="148"/>
      <c r="HX119" s="148"/>
      <c r="HY119" s="148"/>
      <c r="HZ119" s="148"/>
      <c r="IA119" s="148"/>
      <c r="IB119" s="148"/>
      <c r="IC119" s="148"/>
      <c r="ID119" s="148"/>
      <c r="IE119" s="148"/>
      <c r="IF119" s="148"/>
      <c r="IG119" s="148"/>
      <c r="IH119" s="148"/>
      <c r="II119" s="148"/>
      <c r="IJ119" s="148"/>
      <c r="IK119" s="148"/>
      <c r="IL119" s="148"/>
      <c r="IM119" s="148"/>
      <c r="IN119" s="148"/>
      <c r="IO119" s="148"/>
      <c r="IP119" s="148"/>
      <c r="IQ119" s="148"/>
      <c r="IR119" s="148"/>
      <c r="IS119" s="148"/>
      <c r="IT119" s="148"/>
      <c r="IU119" s="148"/>
      <c r="IV119" s="148"/>
    </row>
    <row r="120" spans="1:256" s="149" customFormat="1" ht="40.700000000000003" customHeight="1">
      <c r="A120" s="139"/>
      <c r="B120" s="140" t="s">
        <v>18</v>
      </c>
      <c r="C120" s="141" t="s">
        <v>166</v>
      </c>
      <c r="D120" s="142">
        <f t="shared" si="5"/>
        <v>108</v>
      </c>
      <c r="E120" s="143" t="s">
        <v>160</v>
      </c>
      <c r="F120" s="144"/>
      <c r="G120" s="150"/>
      <c r="H120" s="144" t="s">
        <v>31</v>
      </c>
      <c r="I120" s="146"/>
      <c r="J120" s="147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  <c r="CJ120" s="148"/>
      <c r="CK120" s="148"/>
      <c r="CL120" s="148"/>
      <c r="CM120" s="148"/>
      <c r="CN120" s="148"/>
      <c r="CO120" s="148"/>
      <c r="CP120" s="148"/>
      <c r="CQ120" s="148"/>
      <c r="CR120" s="148"/>
      <c r="CS120" s="148"/>
      <c r="CT120" s="148"/>
      <c r="CU120" s="148"/>
      <c r="CV120" s="148"/>
      <c r="CW120" s="148"/>
      <c r="CX120" s="148"/>
      <c r="CY120" s="148"/>
      <c r="CZ120" s="148"/>
      <c r="DA120" s="148"/>
      <c r="DB120" s="148"/>
      <c r="DC120" s="148"/>
      <c r="DD120" s="148"/>
      <c r="DE120" s="148"/>
      <c r="DF120" s="148"/>
      <c r="DG120" s="148"/>
      <c r="DH120" s="148"/>
      <c r="DI120" s="148"/>
      <c r="DJ120" s="148"/>
      <c r="DK120" s="148"/>
      <c r="DL120" s="148"/>
      <c r="DM120" s="148"/>
      <c r="DN120" s="148"/>
      <c r="DO120" s="148"/>
      <c r="DP120" s="148"/>
      <c r="DQ120" s="148"/>
      <c r="DR120" s="148"/>
      <c r="DS120" s="148"/>
      <c r="DT120" s="148"/>
      <c r="DU120" s="148"/>
      <c r="DV120" s="148"/>
      <c r="DW120" s="148"/>
      <c r="DX120" s="148"/>
      <c r="DY120" s="148"/>
      <c r="DZ120" s="148"/>
      <c r="EA120" s="148"/>
      <c r="EB120" s="148"/>
      <c r="EC120" s="148"/>
      <c r="ED120" s="148"/>
      <c r="EE120" s="148"/>
      <c r="EF120" s="148"/>
      <c r="EG120" s="148"/>
      <c r="EH120" s="148"/>
      <c r="EI120" s="148"/>
      <c r="EJ120" s="148"/>
      <c r="EK120" s="148"/>
      <c r="EL120" s="148"/>
      <c r="EM120" s="148"/>
      <c r="EN120" s="148"/>
      <c r="EO120" s="148"/>
      <c r="EP120" s="148"/>
      <c r="EQ120" s="148"/>
      <c r="ER120" s="148"/>
      <c r="ES120" s="148"/>
      <c r="ET120" s="148"/>
      <c r="EU120" s="148"/>
      <c r="EV120" s="148"/>
      <c r="EW120" s="148"/>
      <c r="EX120" s="148"/>
      <c r="EY120" s="148"/>
      <c r="EZ120" s="148"/>
      <c r="FA120" s="148"/>
      <c r="FB120" s="148"/>
      <c r="FC120" s="148"/>
      <c r="FD120" s="148"/>
      <c r="FE120" s="148"/>
      <c r="FF120" s="148"/>
      <c r="FG120" s="148"/>
      <c r="FH120" s="148"/>
      <c r="FI120" s="148"/>
      <c r="FJ120" s="148"/>
      <c r="FK120" s="148"/>
      <c r="FL120" s="148"/>
      <c r="FM120" s="148"/>
      <c r="FN120" s="148"/>
      <c r="FO120" s="148"/>
      <c r="FP120" s="148"/>
      <c r="FQ120" s="148"/>
      <c r="FR120" s="148"/>
      <c r="FS120" s="148"/>
      <c r="FT120" s="148"/>
      <c r="FU120" s="148"/>
      <c r="FV120" s="148"/>
      <c r="FW120" s="148"/>
      <c r="FX120" s="148"/>
      <c r="FY120" s="148"/>
      <c r="FZ120" s="148"/>
      <c r="GA120" s="148"/>
      <c r="GB120" s="148"/>
      <c r="GC120" s="148"/>
      <c r="GD120" s="148"/>
      <c r="GE120" s="148"/>
      <c r="GF120" s="148"/>
      <c r="GG120" s="148"/>
      <c r="GH120" s="148"/>
      <c r="GI120" s="148"/>
      <c r="GJ120" s="148"/>
      <c r="GK120" s="148"/>
      <c r="GL120" s="148"/>
      <c r="GM120" s="148"/>
      <c r="GN120" s="148"/>
      <c r="GO120" s="148"/>
      <c r="GP120" s="148"/>
      <c r="GQ120" s="148"/>
      <c r="GR120" s="148"/>
      <c r="GS120" s="148"/>
      <c r="GT120" s="148"/>
      <c r="GU120" s="148"/>
      <c r="GV120" s="148"/>
      <c r="GW120" s="148"/>
      <c r="GX120" s="148"/>
      <c r="GY120" s="148"/>
      <c r="GZ120" s="148"/>
      <c r="HA120" s="148"/>
      <c r="HB120" s="148"/>
      <c r="HC120" s="148"/>
      <c r="HD120" s="148"/>
      <c r="HE120" s="148"/>
      <c r="HF120" s="148"/>
      <c r="HG120" s="148"/>
      <c r="HH120" s="148"/>
      <c r="HI120" s="148"/>
      <c r="HJ120" s="148"/>
      <c r="HK120" s="148"/>
      <c r="HL120" s="148"/>
      <c r="HM120" s="148"/>
      <c r="HN120" s="148"/>
      <c r="HO120" s="148"/>
      <c r="HP120" s="148"/>
      <c r="HQ120" s="148"/>
      <c r="HR120" s="148"/>
      <c r="HS120" s="148"/>
      <c r="HT120" s="148"/>
      <c r="HU120" s="148"/>
      <c r="HV120" s="148"/>
      <c r="HW120" s="148"/>
      <c r="HX120" s="148"/>
      <c r="HY120" s="148"/>
      <c r="HZ120" s="148"/>
      <c r="IA120" s="148"/>
      <c r="IB120" s="148"/>
      <c r="IC120" s="148"/>
      <c r="ID120" s="148"/>
      <c r="IE120" s="148"/>
      <c r="IF120" s="148"/>
      <c r="IG120" s="148"/>
      <c r="IH120" s="148"/>
      <c r="II120" s="148"/>
      <c r="IJ120" s="148"/>
      <c r="IK120" s="148"/>
      <c r="IL120" s="148"/>
      <c r="IM120" s="148"/>
      <c r="IN120" s="148"/>
      <c r="IO120" s="148"/>
      <c r="IP120" s="148"/>
      <c r="IQ120" s="148"/>
      <c r="IR120" s="148"/>
      <c r="IS120" s="148"/>
      <c r="IT120" s="148"/>
      <c r="IU120" s="148"/>
      <c r="IV120" s="148"/>
    </row>
    <row r="121" spans="1:256" s="149" customFormat="1" ht="70.900000000000006" customHeight="1">
      <c r="A121" s="139"/>
      <c r="B121" s="140" t="s">
        <v>18</v>
      </c>
      <c r="C121" s="141" t="s">
        <v>166</v>
      </c>
      <c r="D121" s="142">
        <f t="shared" si="5"/>
        <v>109</v>
      </c>
      <c r="E121" s="143" t="s">
        <v>170</v>
      </c>
      <c r="F121" s="144"/>
      <c r="G121" s="150"/>
      <c r="H121" s="144" t="s">
        <v>31</v>
      </c>
      <c r="I121" s="146"/>
      <c r="J121" s="147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148"/>
      <c r="AE121" s="148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  <c r="CJ121" s="148"/>
      <c r="CK121" s="148"/>
      <c r="CL121" s="148"/>
      <c r="CM121" s="148"/>
      <c r="CN121" s="148"/>
      <c r="CO121" s="148"/>
      <c r="CP121" s="148"/>
      <c r="CQ121" s="148"/>
      <c r="CR121" s="148"/>
      <c r="CS121" s="148"/>
      <c r="CT121" s="148"/>
      <c r="CU121" s="148"/>
      <c r="CV121" s="148"/>
      <c r="CW121" s="148"/>
      <c r="CX121" s="148"/>
      <c r="CY121" s="148"/>
      <c r="CZ121" s="148"/>
      <c r="DA121" s="148"/>
      <c r="DB121" s="148"/>
      <c r="DC121" s="148"/>
      <c r="DD121" s="148"/>
      <c r="DE121" s="148"/>
      <c r="DF121" s="148"/>
      <c r="DG121" s="148"/>
      <c r="DH121" s="148"/>
      <c r="DI121" s="148"/>
      <c r="DJ121" s="148"/>
      <c r="DK121" s="148"/>
      <c r="DL121" s="148"/>
      <c r="DM121" s="148"/>
      <c r="DN121" s="148"/>
      <c r="DO121" s="148"/>
      <c r="DP121" s="148"/>
      <c r="DQ121" s="148"/>
      <c r="DR121" s="148"/>
      <c r="DS121" s="148"/>
      <c r="DT121" s="148"/>
      <c r="DU121" s="148"/>
      <c r="DV121" s="148"/>
      <c r="DW121" s="148"/>
      <c r="DX121" s="148"/>
      <c r="DY121" s="148"/>
      <c r="DZ121" s="148"/>
      <c r="EA121" s="148"/>
      <c r="EB121" s="148"/>
      <c r="EC121" s="148"/>
      <c r="ED121" s="148"/>
      <c r="EE121" s="148"/>
      <c r="EF121" s="148"/>
      <c r="EG121" s="148"/>
      <c r="EH121" s="148"/>
      <c r="EI121" s="148"/>
      <c r="EJ121" s="148"/>
      <c r="EK121" s="148"/>
      <c r="EL121" s="148"/>
      <c r="EM121" s="148"/>
      <c r="EN121" s="148"/>
      <c r="EO121" s="148"/>
      <c r="EP121" s="148"/>
      <c r="EQ121" s="148"/>
      <c r="ER121" s="148"/>
      <c r="ES121" s="148"/>
      <c r="ET121" s="148"/>
      <c r="EU121" s="148"/>
      <c r="EV121" s="148"/>
      <c r="EW121" s="148"/>
      <c r="EX121" s="148"/>
      <c r="EY121" s="148"/>
      <c r="EZ121" s="148"/>
      <c r="FA121" s="148"/>
      <c r="FB121" s="148"/>
      <c r="FC121" s="148"/>
      <c r="FD121" s="148"/>
      <c r="FE121" s="148"/>
      <c r="FF121" s="148"/>
      <c r="FG121" s="148"/>
      <c r="FH121" s="148"/>
      <c r="FI121" s="148"/>
      <c r="FJ121" s="148"/>
      <c r="FK121" s="148"/>
      <c r="FL121" s="148"/>
      <c r="FM121" s="148"/>
      <c r="FN121" s="148"/>
      <c r="FO121" s="148"/>
      <c r="FP121" s="148"/>
      <c r="FQ121" s="148"/>
      <c r="FR121" s="148"/>
      <c r="FS121" s="148"/>
      <c r="FT121" s="148"/>
      <c r="FU121" s="148"/>
      <c r="FV121" s="148"/>
      <c r="FW121" s="148"/>
      <c r="FX121" s="148"/>
      <c r="FY121" s="148"/>
      <c r="FZ121" s="148"/>
      <c r="GA121" s="148"/>
      <c r="GB121" s="148"/>
      <c r="GC121" s="148"/>
      <c r="GD121" s="148"/>
      <c r="GE121" s="148"/>
      <c r="GF121" s="148"/>
      <c r="GG121" s="148"/>
      <c r="GH121" s="148"/>
      <c r="GI121" s="148"/>
      <c r="GJ121" s="148"/>
      <c r="GK121" s="148"/>
      <c r="GL121" s="148"/>
      <c r="GM121" s="148"/>
      <c r="GN121" s="148"/>
      <c r="GO121" s="148"/>
      <c r="GP121" s="148"/>
      <c r="GQ121" s="148"/>
      <c r="GR121" s="148"/>
      <c r="GS121" s="148"/>
      <c r="GT121" s="148"/>
      <c r="GU121" s="148"/>
      <c r="GV121" s="148"/>
      <c r="GW121" s="148"/>
      <c r="GX121" s="148"/>
      <c r="GY121" s="148"/>
      <c r="GZ121" s="148"/>
      <c r="HA121" s="148"/>
      <c r="HB121" s="148"/>
      <c r="HC121" s="148"/>
      <c r="HD121" s="148"/>
      <c r="HE121" s="148"/>
      <c r="HF121" s="148"/>
      <c r="HG121" s="148"/>
      <c r="HH121" s="148"/>
      <c r="HI121" s="148"/>
      <c r="HJ121" s="148"/>
      <c r="HK121" s="148"/>
      <c r="HL121" s="148"/>
      <c r="HM121" s="148"/>
      <c r="HN121" s="148"/>
      <c r="HO121" s="148"/>
      <c r="HP121" s="148"/>
      <c r="HQ121" s="148"/>
      <c r="HR121" s="148"/>
      <c r="HS121" s="148"/>
      <c r="HT121" s="148"/>
      <c r="HU121" s="148"/>
      <c r="HV121" s="148"/>
      <c r="HW121" s="148"/>
      <c r="HX121" s="148"/>
      <c r="HY121" s="148"/>
      <c r="HZ121" s="148"/>
      <c r="IA121" s="148"/>
      <c r="IB121" s="148"/>
      <c r="IC121" s="148"/>
      <c r="ID121" s="148"/>
      <c r="IE121" s="148"/>
      <c r="IF121" s="148"/>
      <c r="IG121" s="148"/>
      <c r="IH121" s="148"/>
      <c r="II121" s="148"/>
      <c r="IJ121" s="148"/>
      <c r="IK121" s="148"/>
      <c r="IL121" s="148"/>
      <c r="IM121" s="148"/>
      <c r="IN121" s="148"/>
      <c r="IO121" s="148"/>
      <c r="IP121" s="148"/>
      <c r="IQ121" s="148"/>
      <c r="IR121" s="148"/>
      <c r="IS121" s="148"/>
      <c r="IT121" s="148"/>
      <c r="IU121" s="148"/>
      <c r="IV121" s="148"/>
    </row>
    <row r="122" spans="1:256" s="149" customFormat="1" ht="51.4" customHeight="1">
      <c r="A122" s="139"/>
      <c r="B122" s="140"/>
      <c r="C122" s="141" t="s">
        <v>166</v>
      </c>
      <c r="D122" s="142">
        <f t="shared" si="5"/>
        <v>110</v>
      </c>
      <c r="E122" s="143" t="s">
        <v>162</v>
      </c>
      <c r="F122" s="144"/>
      <c r="G122" s="150"/>
      <c r="H122" s="144" t="s">
        <v>31</v>
      </c>
      <c r="I122" s="146"/>
      <c r="J122" s="147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  <c r="AD122" s="148"/>
      <c r="AE122" s="148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  <c r="CJ122" s="148"/>
      <c r="CK122" s="148"/>
      <c r="CL122" s="148"/>
      <c r="CM122" s="148"/>
      <c r="CN122" s="148"/>
      <c r="CO122" s="148"/>
      <c r="CP122" s="148"/>
      <c r="CQ122" s="148"/>
      <c r="CR122" s="148"/>
      <c r="CS122" s="148"/>
      <c r="CT122" s="148"/>
      <c r="CU122" s="148"/>
      <c r="CV122" s="148"/>
      <c r="CW122" s="148"/>
      <c r="CX122" s="148"/>
      <c r="CY122" s="148"/>
      <c r="CZ122" s="148"/>
      <c r="DA122" s="148"/>
      <c r="DB122" s="148"/>
      <c r="DC122" s="148"/>
      <c r="DD122" s="148"/>
      <c r="DE122" s="148"/>
      <c r="DF122" s="148"/>
      <c r="DG122" s="148"/>
      <c r="DH122" s="148"/>
      <c r="DI122" s="148"/>
      <c r="DJ122" s="148"/>
      <c r="DK122" s="148"/>
      <c r="DL122" s="148"/>
      <c r="DM122" s="148"/>
      <c r="DN122" s="148"/>
      <c r="DO122" s="148"/>
      <c r="DP122" s="148"/>
      <c r="DQ122" s="148"/>
      <c r="DR122" s="148"/>
      <c r="DS122" s="148"/>
      <c r="DT122" s="148"/>
      <c r="DU122" s="148"/>
      <c r="DV122" s="148"/>
      <c r="DW122" s="148"/>
      <c r="DX122" s="148"/>
      <c r="DY122" s="148"/>
      <c r="DZ122" s="148"/>
      <c r="EA122" s="148"/>
      <c r="EB122" s="148"/>
      <c r="EC122" s="148"/>
      <c r="ED122" s="148"/>
      <c r="EE122" s="148"/>
      <c r="EF122" s="148"/>
      <c r="EG122" s="148"/>
      <c r="EH122" s="148"/>
      <c r="EI122" s="148"/>
      <c r="EJ122" s="148"/>
      <c r="EK122" s="148"/>
      <c r="EL122" s="148"/>
      <c r="EM122" s="148"/>
      <c r="EN122" s="148"/>
      <c r="EO122" s="148"/>
      <c r="EP122" s="148"/>
      <c r="EQ122" s="148"/>
      <c r="ER122" s="148"/>
      <c r="ES122" s="148"/>
      <c r="ET122" s="148"/>
      <c r="EU122" s="148"/>
      <c r="EV122" s="148"/>
      <c r="EW122" s="148"/>
      <c r="EX122" s="148"/>
      <c r="EY122" s="148"/>
      <c r="EZ122" s="148"/>
      <c r="FA122" s="148"/>
      <c r="FB122" s="148"/>
      <c r="FC122" s="148"/>
      <c r="FD122" s="148"/>
      <c r="FE122" s="148"/>
      <c r="FF122" s="148"/>
      <c r="FG122" s="148"/>
      <c r="FH122" s="148"/>
      <c r="FI122" s="148"/>
      <c r="FJ122" s="148"/>
      <c r="FK122" s="148"/>
      <c r="FL122" s="148"/>
      <c r="FM122" s="148"/>
      <c r="FN122" s="148"/>
      <c r="FO122" s="148"/>
      <c r="FP122" s="148"/>
      <c r="FQ122" s="148"/>
      <c r="FR122" s="148"/>
      <c r="FS122" s="148"/>
      <c r="FT122" s="148"/>
      <c r="FU122" s="148"/>
      <c r="FV122" s="148"/>
      <c r="FW122" s="148"/>
      <c r="FX122" s="148"/>
      <c r="FY122" s="148"/>
      <c r="FZ122" s="148"/>
      <c r="GA122" s="148"/>
      <c r="GB122" s="148"/>
      <c r="GC122" s="148"/>
      <c r="GD122" s="148"/>
      <c r="GE122" s="148"/>
      <c r="GF122" s="148"/>
      <c r="GG122" s="148"/>
      <c r="GH122" s="148"/>
      <c r="GI122" s="148"/>
      <c r="GJ122" s="148"/>
      <c r="GK122" s="148"/>
      <c r="GL122" s="148"/>
      <c r="GM122" s="148"/>
      <c r="GN122" s="148"/>
      <c r="GO122" s="148"/>
      <c r="GP122" s="148"/>
      <c r="GQ122" s="148"/>
      <c r="GR122" s="148"/>
      <c r="GS122" s="148"/>
      <c r="GT122" s="148"/>
      <c r="GU122" s="148"/>
      <c r="GV122" s="148"/>
      <c r="GW122" s="148"/>
      <c r="GX122" s="148"/>
      <c r="GY122" s="148"/>
      <c r="GZ122" s="148"/>
      <c r="HA122" s="148"/>
      <c r="HB122" s="148"/>
      <c r="HC122" s="148"/>
      <c r="HD122" s="148"/>
      <c r="HE122" s="148"/>
      <c r="HF122" s="148"/>
      <c r="HG122" s="148"/>
      <c r="HH122" s="148"/>
      <c r="HI122" s="148"/>
      <c r="HJ122" s="148"/>
      <c r="HK122" s="148"/>
      <c r="HL122" s="148"/>
      <c r="HM122" s="148"/>
      <c r="HN122" s="148"/>
      <c r="HO122" s="148"/>
      <c r="HP122" s="148"/>
      <c r="HQ122" s="148"/>
      <c r="HR122" s="148"/>
      <c r="HS122" s="148"/>
      <c r="HT122" s="148"/>
      <c r="HU122" s="148"/>
      <c r="HV122" s="148"/>
      <c r="HW122" s="148"/>
      <c r="HX122" s="148"/>
      <c r="HY122" s="148"/>
      <c r="HZ122" s="148"/>
      <c r="IA122" s="148"/>
      <c r="IB122" s="148"/>
      <c r="IC122" s="148"/>
      <c r="ID122" s="148"/>
      <c r="IE122" s="148"/>
      <c r="IF122" s="148"/>
      <c r="IG122" s="148"/>
      <c r="IH122" s="148"/>
      <c r="II122" s="148"/>
      <c r="IJ122" s="148"/>
      <c r="IK122" s="148"/>
      <c r="IL122" s="148"/>
      <c r="IM122" s="148"/>
      <c r="IN122" s="148"/>
      <c r="IO122" s="148"/>
      <c r="IP122" s="148"/>
      <c r="IQ122" s="148"/>
      <c r="IR122" s="148"/>
      <c r="IS122" s="148"/>
      <c r="IT122" s="148"/>
      <c r="IU122" s="148"/>
      <c r="IV122" s="148"/>
    </row>
    <row r="123" spans="1:256" ht="31.15" customHeight="1">
      <c r="A123" s="217"/>
      <c r="B123" s="218"/>
      <c r="C123" s="219" t="s">
        <v>166</v>
      </c>
      <c r="D123" s="220">
        <f>SUM(D117+1)</f>
        <v>106</v>
      </c>
      <c r="E123" s="221" t="s">
        <v>172</v>
      </c>
      <c r="F123" s="222"/>
      <c r="G123" s="222" t="s">
        <v>173</v>
      </c>
      <c r="H123" s="222"/>
      <c r="I123" s="223"/>
      <c r="J123" s="224" t="s">
        <v>169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</row>
    <row r="124" spans="1:256" s="149" customFormat="1" ht="51.4" customHeight="1">
      <c r="A124" s="139"/>
      <c r="B124" s="140"/>
      <c r="C124" s="141" t="s">
        <v>166</v>
      </c>
      <c r="D124" s="142">
        <f t="shared" si="5"/>
        <v>107</v>
      </c>
      <c r="E124" s="143" t="s">
        <v>158</v>
      </c>
      <c r="F124" s="144"/>
      <c r="G124" s="144" t="s">
        <v>173</v>
      </c>
      <c r="H124" s="144"/>
      <c r="I124" s="146"/>
      <c r="J124" s="147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  <c r="CJ124" s="148"/>
      <c r="CK124" s="148"/>
      <c r="CL124" s="148"/>
      <c r="CM124" s="148"/>
      <c r="CN124" s="148"/>
      <c r="CO124" s="148"/>
      <c r="CP124" s="148"/>
      <c r="CQ124" s="148"/>
      <c r="CR124" s="148"/>
      <c r="CS124" s="148"/>
      <c r="CT124" s="148"/>
      <c r="CU124" s="148"/>
      <c r="CV124" s="148"/>
      <c r="CW124" s="148"/>
      <c r="CX124" s="148"/>
      <c r="CY124" s="148"/>
      <c r="CZ124" s="148"/>
      <c r="DA124" s="148"/>
      <c r="DB124" s="148"/>
      <c r="DC124" s="148"/>
      <c r="DD124" s="148"/>
      <c r="DE124" s="148"/>
      <c r="DF124" s="148"/>
      <c r="DG124" s="148"/>
      <c r="DH124" s="148"/>
      <c r="DI124" s="148"/>
      <c r="DJ124" s="148"/>
      <c r="DK124" s="148"/>
      <c r="DL124" s="148"/>
      <c r="DM124" s="148"/>
      <c r="DN124" s="148"/>
      <c r="DO124" s="148"/>
      <c r="DP124" s="148"/>
      <c r="DQ124" s="148"/>
      <c r="DR124" s="148"/>
      <c r="DS124" s="148"/>
      <c r="DT124" s="148"/>
      <c r="DU124" s="148"/>
      <c r="DV124" s="148"/>
      <c r="DW124" s="148"/>
      <c r="DX124" s="148"/>
      <c r="DY124" s="148"/>
      <c r="DZ124" s="148"/>
      <c r="EA124" s="148"/>
      <c r="EB124" s="148"/>
      <c r="EC124" s="148"/>
      <c r="ED124" s="148"/>
      <c r="EE124" s="148"/>
      <c r="EF124" s="148"/>
      <c r="EG124" s="148"/>
      <c r="EH124" s="148"/>
      <c r="EI124" s="148"/>
      <c r="EJ124" s="148"/>
      <c r="EK124" s="148"/>
      <c r="EL124" s="148"/>
      <c r="EM124" s="148"/>
      <c r="EN124" s="148"/>
      <c r="EO124" s="148"/>
      <c r="EP124" s="148"/>
      <c r="EQ124" s="148"/>
      <c r="ER124" s="148"/>
      <c r="ES124" s="148"/>
      <c r="ET124" s="148"/>
      <c r="EU124" s="148"/>
      <c r="EV124" s="148"/>
      <c r="EW124" s="148"/>
      <c r="EX124" s="148"/>
      <c r="EY124" s="148"/>
      <c r="EZ124" s="148"/>
      <c r="FA124" s="148"/>
      <c r="FB124" s="148"/>
      <c r="FC124" s="148"/>
      <c r="FD124" s="148"/>
      <c r="FE124" s="148"/>
      <c r="FF124" s="148"/>
      <c r="FG124" s="148"/>
      <c r="FH124" s="148"/>
      <c r="FI124" s="148"/>
      <c r="FJ124" s="148"/>
      <c r="FK124" s="148"/>
      <c r="FL124" s="148"/>
      <c r="FM124" s="148"/>
      <c r="FN124" s="148"/>
      <c r="FO124" s="148"/>
      <c r="FP124" s="148"/>
      <c r="FQ124" s="148"/>
      <c r="FR124" s="148"/>
      <c r="FS124" s="148"/>
      <c r="FT124" s="148"/>
      <c r="FU124" s="148"/>
      <c r="FV124" s="148"/>
      <c r="FW124" s="148"/>
      <c r="FX124" s="148"/>
      <c r="FY124" s="148"/>
      <c r="FZ124" s="148"/>
      <c r="GA124" s="148"/>
      <c r="GB124" s="148"/>
      <c r="GC124" s="148"/>
      <c r="GD124" s="148"/>
      <c r="GE124" s="148"/>
      <c r="GF124" s="148"/>
      <c r="GG124" s="148"/>
      <c r="GH124" s="148"/>
      <c r="GI124" s="148"/>
      <c r="GJ124" s="148"/>
      <c r="GK124" s="148"/>
      <c r="GL124" s="148"/>
      <c r="GM124" s="148"/>
      <c r="GN124" s="148"/>
      <c r="GO124" s="148"/>
      <c r="GP124" s="148"/>
      <c r="GQ124" s="148"/>
      <c r="GR124" s="148"/>
      <c r="GS124" s="148"/>
      <c r="GT124" s="148"/>
      <c r="GU124" s="148"/>
      <c r="GV124" s="148"/>
      <c r="GW124" s="148"/>
      <c r="GX124" s="148"/>
      <c r="GY124" s="148"/>
      <c r="GZ124" s="148"/>
      <c r="HA124" s="148"/>
      <c r="HB124" s="148"/>
      <c r="HC124" s="148"/>
      <c r="HD124" s="148"/>
      <c r="HE124" s="148"/>
      <c r="HF124" s="148"/>
      <c r="HG124" s="148"/>
      <c r="HH124" s="148"/>
      <c r="HI124" s="148"/>
      <c r="HJ124" s="148"/>
      <c r="HK124" s="148"/>
      <c r="HL124" s="148"/>
      <c r="HM124" s="148"/>
      <c r="HN124" s="148"/>
      <c r="HO124" s="148"/>
      <c r="HP124" s="148"/>
      <c r="HQ124" s="148"/>
      <c r="HR124" s="148"/>
      <c r="HS124" s="148"/>
      <c r="HT124" s="148"/>
      <c r="HU124" s="148"/>
      <c r="HV124" s="148"/>
      <c r="HW124" s="148"/>
      <c r="HX124" s="148"/>
      <c r="HY124" s="148"/>
      <c r="HZ124" s="148"/>
      <c r="IA124" s="148"/>
      <c r="IB124" s="148"/>
      <c r="IC124" s="148"/>
      <c r="ID124" s="148"/>
      <c r="IE124" s="148"/>
      <c r="IF124" s="148"/>
      <c r="IG124" s="148"/>
      <c r="IH124" s="148"/>
      <c r="II124" s="148"/>
      <c r="IJ124" s="148"/>
      <c r="IK124" s="148"/>
      <c r="IL124" s="148"/>
      <c r="IM124" s="148"/>
      <c r="IN124" s="148"/>
      <c r="IO124" s="148"/>
      <c r="IP124" s="148"/>
      <c r="IQ124" s="148"/>
      <c r="IR124" s="148"/>
      <c r="IS124" s="148"/>
      <c r="IT124" s="148"/>
      <c r="IU124" s="148"/>
      <c r="IV124" s="148"/>
    </row>
    <row r="125" spans="1:256" s="149" customFormat="1" ht="51.4" customHeight="1">
      <c r="A125" s="139"/>
      <c r="B125" s="140"/>
      <c r="C125" s="141" t="s">
        <v>166</v>
      </c>
      <c r="D125" s="142">
        <f t="shared" si="5"/>
        <v>108</v>
      </c>
      <c r="E125" s="143" t="s">
        <v>160</v>
      </c>
      <c r="F125" s="144"/>
      <c r="G125" s="144" t="s">
        <v>173</v>
      </c>
      <c r="H125" s="144"/>
      <c r="I125" s="146"/>
      <c r="J125" s="147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  <c r="CJ125" s="148"/>
      <c r="CK125" s="148"/>
      <c r="CL125" s="148"/>
      <c r="CM125" s="148"/>
      <c r="CN125" s="148"/>
      <c r="CO125" s="148"/>
      <c r="CP125" s="148"/>
      <c r="CQ125" s="148"/>
      <c r="CR125" s="148"/>
      <c r="CS125" s="148"/>
      <c r="CT125" s="148"/>
      <c r="CU125" s="148"/>
      <c r="CV125" s="148"/>
      <c r="CW125" s="148"/>
      <c r="CX125" s="148"/>
      <c r="CY125" s="148"/>
      <c r="CZ125" s="148"/>
      <c r="DA125" s="148"/>
      <c r="DB125" s="148"/>
      <c r="DC125" s="148"/>
      <c r="DD125" s="148"/>
      <c r="DE125" s="148"/>
      <c r="DF125" s="148"/>
      <c r="DG125" s="148"/>
      <c r="DH125" s="148"/>
      <c r="DI125" s="148"/>
      <c r="DJ125" s="148"/>
      <c r="DK125" s="148"/>
      <c r="DL125" s="148"/>
      <c r="DM125" s="148"/>
      <c r="DN125" s="148"/>
      <c r="DO125" s="148"/>
      <c r="DP125" s="148"/>
      <c r="DQ125" s="148"/>
      <c r="DR125" s="148"/>
      <c r="DS125" s="148"/>
      <c r="DT125" s="148"/>
      <c r="DU125" s="148"/>
      <c r="DV125" s="148"/>
      <c r="DW125" s="148"/>
      <c r="DX125" s="148"/>
      <c r="DY125" s="148"/>
      <c r="DZ125" s="148"/>
      <c r="EA125" s="148"/>
      <c r="EB125" s="148"/>
      <c r="EC125" s="148"/>
      <c r="ED125" s="148"/>
      <c r="EE125" s="148"/>
      <c r="EF125" s="148"/>
      <c r="EG125" s="148"/>
      <c r="EH125" s="148"/>
      <c r="EI125" s="148"/>
      <c r="EJ125" s="148"/>
      <c r="EK125" s="148"/>
      <c r="EL125" s="148"/>
      <c r="EM125" s="148"/>
      <c r="EN125" s="148"/>
      <c r="EO125" s="148"/>
      <c r="EP125" s="148"/>
      <c r="EQ125" s="148"/>
      <c r="ER125" s="148"/>
      <c r="ES125" s="148"/>
      <c r="ET125" s="148"/>
      <c r="EU125" s="148"/>
      <c r="EV125" s="148"/>
      <c r="EW125" s="148"/>
      <c r="EX125" s="148"/>
      <c r="EY125" s="148"/>
      <c r="EZ125" s="148"/>
      <c r="FA125" s="148"/>
      <c r="FB125" s="148"/>
      <c r="FC125" s="148"/>
      <c r="FD125" s="148"/>
      <c r="FE125" s="148"/>
      <c r="FF125" s="148"/>
      <c r="FG125" s="148"/>
      <c r="FH125" s="148"/>
      <c r="FI125" s="148"/>
      <c r="FJ125" s="148"/>
      <c r="FK125" s="148"/>
      <c r="FL125" s="148"/>
      <c r="FM125" s="148"/>
      <c r="FN125" s="148"/>
      <c r="FO125" s="148"/>
      <c r="FP125" s="148"/>
      <c r="FQ125" s="148"/>
      <c r="FR125" s="148"/>
      <c r="FS125" s="148"/>
      <c r="FT125" s="148"/>
      <c r="FU125" s="148"/>
      <c r="FV125" s="148"/>
      <c r="FW125" s="148"/>
      <c r="FX125" s="148"/>
      <c r="FY125" s="148"/>
      <c r="FZ125" s="148"/>
      <c r="GA125" s="148"/>
      <c r="GB125" s="148"/>
      <c r="GC125" s="148"/>
      <c r="GD125" s="148"/>
      <c r="GE125" s="148"/>
      <c r="GF125" s="148"/>
      <c r="GG125" s="148"/>
      <c r="GH125" s="148"/>
      <c r="GI125" s="148"/>
      <c r="GJ125" s="148"/>
      <c r="GK125" s="148"/>
      <c r="GL125" s="148"/>
      <c r="GM125" s="148"/>
      <c r="GN125" s="148"/>
      <c r="GO125" s="148"/>
      <c r="GP125" s="148"/>
      <c r="GQ125" s="148"/>
      <c r="GR125" s="148"/>
      <c r="GS125" s="148"/>
      <c r="GT125" s="148"/>
      <c r="GU125" s="148"/>
      <c r="GV125" s="148"/>
      <c r="GW125" s="148"/>
      <c r="GX125" s="148"/>
      <c r="GY125" s="148"/>
      <c r="GZ125" s="148"/>
      <c r="HA125" s="148"/>
      <c r="HB125" s="148"/>
      <c r="HC125" s="148"/>
      <c r="HD125" s="148"/>
      <c r="HE125" s="148"/>
      <c r="HF125" s="148"/>
      <c r="HG125" s="148"/>
      <c r="HH125" s="148"/>
      <c r="HI125" s="148"/>
      <c r="HJ125" s="148"/>
      <c r="HK125" s="148"/>
      <c r="HL125" s="148"/>
      <c r="HM125" s="148"/>
      <c r="HN125" s="148"/>
      <c r="HO125" s="148"/>
      <c r="HP125" s="148"/>
      <c r="HQ125" s="148"/>
      <c r="HR125" s="148"/>
      <c r="HS125" s="148"/>
      <c r="HT125" s="148"/>
      <c r="HU125" s="148"/>
      <c r="HV125" s="148"/>
      <c r="HW125" s="148"/>
      <c r="HX125" s="148"/>
      <c r="HY125" s="148"/>
      <c r="HZ125" s="148"/>
      <c r="IA125" s="148"/>
      <c r="IB125" s="148"/>
      <c r="IC125" s="148"/>
      <c r="ID125" s="148"/>
      <c r="IE125" s="148"/>
      <c r="IF125" s="148"/>
      <c r="IG125" s="148"/>
      <c r="IH125" s="148"/>
      <c r="II125" s="148"/>
      <c r="IJ125" s="148"/>
      <c r="IK125" s="148"/>
      <c r="IL125" s="148"/>
      <c r="IM125" s="148"/>
      <c r="IN125" s="148"/>
      <c r="IO125" s="148"/>
      <c r="IP125" s="148"/>
      <c r="IQ125" s="148"/>
      <c r="IR125" s="148"/>
      <c r="IS125" s="148"/>
      <c r="IT125" s="148"/>
      <c r="IU125" s="148"/>
      <c r="IV125" s="148"/>
    </row>
    <row r="126" spans="1:256" s="149" customFormat="1" ht="56.25" customHeight="1">
      <c r="A126" s="139"/>
      <c r="B126" s="140"/>
      <c r="C126" s="141" t="s">
        <v>166</v>
      </c>
      <c r="D126" s="142">
        <f t="shared" si="5"/>
        <v>109</v>
      </c>
      <c r="E126" s="143" t="s">
        <v>174</v>
      </c>
      <c r="F126" s="144"/>
      <c r="G126" s="144" t="s">
        <v>173</v>
      </c>
      <c r="H126" s="144"/>
      <c r="I126" s="146"/>
      <c r="J126" s="147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  <c r="CJ126" s="148"/>
      <c r="CK126" s="148"/>
      <c r="CL126" s="148"/>
      <c r="CM126" s="148"/>
      <c r="CN126" s="148"/>
      <c r="CO126" s="148"/>
      <c r="CP126" s="148"/>
      <c r="CQ126" s="148"/>
      <c r="CR126" s="148"/>
      <c r="CS126" s="148"/>
      <c r="CT126" s="148"/>
      <c r="CU126" s="148"/>
      <c r="CV126" s="148"/>
      <c r="CW126" s="148"/>
      <c r="CX126" s="148"/>
      <c r="CY126" s="148"/>
      <c r="CZ126" s="148"/>
      <c r="DA126" s="148"/>
      <c r="DB126" s="148"/>
      <c r="DC126" s="148"/>
      <c r="DD126" s="148"/>
      <c r="DE126" s="148"/>
      <c r="DF126" s="148"/>
      <c r="DG126" s="148"/>
      <c r="DH126" s="148"/>
      <c r="DI126" s="148"/>
      <c r="DJ126" s="148"/>
      <c r="DK126" s="148"/>
      <c r="DL126" s="148"/>
      <c r="DM126" s="148"/>
      <c r="DN126" s="148"/>
      <c r="DO126" s="148"/>
      <c r="DP126" s="148"/>
      <c r="DQ126" s="148"/>
      <c r="DR126" s="148"/>
      <c r="DS126" s="148"/>
      <c r="DT126" s="148"/>
      <c r="DU126" s="148"/>
      <c r="DV126" s="148"/>
      <c r="DW126" s="148"/>
      <c r="DX126" s="148"/>
      <c r="DY126" s="148"/>
      <c r="DZ126" s="148"/>
      <c r="EA126" s="148"/>
      <c r="EB126" s="148"/>
      <c r="EC126" s="148"/>
      <c r="ED126" s="148"/>
      <c r="EE126" s="148"/>
      <c r="EF126" s="148"/>
      <c r="EG126" s="148"/>
      <c r="EH126" s="148"/>
      <c r="EI126" s="148"/>
      <c r="EJ126" s="148"/>
      <c r="EK126" s="148"/>
      <c r="EL126" s="148"/>
      <c r="EM126" s="148"/>
      <c r="EN126" s="148"/>
      <c r="EO126" s="148"/>
      <c r="EP126" s="148"/>
      <c r="EQ126" s="148"/>
      <c r="ER126" s="148"/>
      <c r="ES126" s="148"/>
      <c r="ET126" s="148"/>
      <c r="EU126" s="148"/>
      <c r="EV126" s="148"/>
      <c r="EW126" s="148"/>
      <c r="EX126" s="148"/>
      <c r="EY126" s="148"/>
      <c r="EZ126" s="148"/>
      <c r="FA126" s="148"/>
      <c r="FB126" s="148"/>
      <c r="FC126" s="148"/>
      <c r="FD126" s="148"/>
      <c r="FE126" s="148"/>
      <c r="FF126" s="148"/>
      <c r="FG126" s="148"/>
      <c r="FH126" s="148"/>
      <c r="FI126" s="148"/>
      <c r="FJ126" s="148"/>
      <c r="FK126" s="148"/>
      <c r="FL126" s="148"/>
      <c r="FM126" s="148"/>
      <c r="FN126" s="148"/>
      <c r="FO126" s="148"/>
      <c r="FP126" s="148"/>
      <c r="FQ126" s="148"/>
      <c r="FR126" s="148"/>
      <c r="FS126" s="148"/>
      <c r="FT126" s="148"/>
      <c r="FU126" s="148"/>
      <c r="FV126" s="148"/>
      <c r="FW126" s="148"/>
      <c r="FX126" s="148"/>
      <c r="FY126" s="148"/>
      <c r="FZ126" s="148"/>
      <c r="GA126" s="148"/>
      <c r="GB126" s="148"/>
      <c r="GC126" s="148"/>
      <c r="GD126" s="148"/>
      <c r="GE126" s="148"/>
      <c r="GF126" s="148"/>
      <c r="GG126" s="148"/>
      <c r="GH126" s="148"/>
      <c r="GI126" s="148"/>
      <c r="GJ126" s="148"/>
      <c r="GK126" s="148"/>
      <c r="GL126" s="148"/>
      <c r="GM126" s="148"/>
      <c r="GN126" s="148"/>
      <c r="GO126" s="148"/>
      <c r="GP126" s="148"/>
      <c r="GQ126" s="148"/>
      <c r="GR126" s="148"/>
      <c r="GS126" s="148"/>
      <c r="GT126" s="148"/>
      <c r="GU126" s="148"/>
      <c r="GV126" s="148"/>
      <c r="GW126" s="148"/>
      <c r="GX126" s="148"/>
      <c r="GY126" s="148"/>
      <c r="GZ126" s="148"/>
      <c r="HA126" s="148"/>
      <c r="HB126" s="148"/>
      <c r="HC126" s="148"/>
      <c r="HD126" s="148"/>
      <c r="HE126" s="148"/>
      <c r="HF126" s="148"/>
      <c r="HG126" s="148"/>
      <c r="HH126" s="148"/>
      <c r="HI126" s="148"/>
      <c r="HJ126" s="148"/>
      <c r="HK126" s="148"/>
      <c r="HL126" s="148"/>
      <c r="HM126" s="148"/>
      <c r="HN126" s="148"/>
      <c r="HO126" s="148"/>
      <c r="HP126" s="148"/>
      <c r="HQ126" s="148"/>
      <c r="HR126" s="148"/>
      <c r="HS126" s="148"/>
      <c r="HT126" s="148"/>
      <c r="HU126" s="148"/>
      <c r="HV126" s="148"/>
      <c r="HW126" s="148"/>
      <c r="HX126" s="148"/>
      <c r="HY126" s="148"/>
      <c r="HZ126" s="148"/>
      <c r="IA126" s="148"/>
      <c r="IB126" s="148"/>
      <c r="IC126" s="148"/>
      <c r="ID126" s="148"/>
      <c r="IE126" s="148"/>
      <c r="IF126" s="148"/>
      <c r="IG126" s="148"/>
      <c r="IH126" s="148"/>
      <c r="II126" s="148"/>
      <c r="IJ126" s="148"/>
      <c r="IK126" s="148"/>
      <c r="IL126" s="148"/>
      <c r="IM126" s="148"/>
      <c r="IN126" s="148"/>
      <c r="IO126" s="148"/>
      <c r="IP126" s="148"/>
      <c r="IQ126" s="148"/>
      <c r="IR126" s="148"/>
      <c r="IS126" s="148"/>
      <c r="IT126" s="148"/>
      <c r="IU126" s="148"/>
      <c r="IV126" s="148"/>
    </row>
    <row r="127" spans="1:256" s="149" customFormat="1" ht="51.4" customHeight="1">
      <c r="A127" s="139"/>
      <c r="B127" s="140"/>
      <c r="C127" s="141" t="s">
        <v>166</v>
      </c>
      <c r="D127" s="142">
        <f t="shared" si="5"/>
        <v>110</v>
      </c>
      <c r="E127" s="143" t="s">
        <v>162</v>
      </c>
      <c r="F127" s="144"/>
      <c r="G127" s="144" t="s">
        <v>173</v>
      </c>
      <c r="H127" s="144"/>
      <c r="I127" s="146"/>
      <c r="J127" s="147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  <c r="CJ127" s="148"/>
      <c r="CK127" s="148"/>
      <c r="CL127" s="148"/>
      <c r="CM127" s="148"/>
      <c r="CN127" s="148"/>
      <c r="CO127" s="148"/>
      <c r="CP127" s="148"/>
      <c r="CQ127" s="148"/>
      <c r="CR127" s="148"/>
      <c r="CS127" s="148"/>
      <c r="CT127" s="148"/>
      <c r="CU127" s="148"/>
      <c r="CV127" s="148"/>
      <c r="CW127" s="148"/>
      <c r="CX127" s="148"/>
      <c r="CY127" s="148"/>
      <c r="CZ127" s="148"/>
      <c r="DA127" s="148"/>
      <c r="DB127" s="148"/>
      <c r="DC127" s="148"/>
      <c r="DD127" s="148"/>
      <c r="DE127" s="148"/>
      <c r="DF127" s="148"/>
      <c r="DG127" s="148"/>
      <c r="DH127" s="148"/>
      <c r="DI127" s="148"/>
      <c r="DJ127" s="148"/>
      <c r="DK127" s="148"/>
      <c r="DL127" s="148"/>
      <c r="DM127" s="148"/>
      <c r="DN127" s="148"/>
      <c r="DO127" s="148"/>
      <c r="DP127" s="148"/>
      <c r="DQ127" s="148"/>
      <c r="DR127" s="148"/>
      <c r="DS127" s="148"/>
      <c r="DT127" s="148"/>
      <c r="DU127" s="148"/>
      <c r="DV127" s="148"/>
      <c r="DW127" s="148"/>
      <c r="DX127" s="148"/>
      <c r="DY127" s="148"/>
      <c r="DZ127" s="148"/>
      <c r="EA127" s="148"/>
      <c r="EB127" s="148"/>
      <c r="EC127" s="148"/>
      <c r="ED127" s="148"/>
      <c r="EE127" s="148"/>
      <c r="EF127" s="148"/>
      <c r="EG127" s="148"/>
      <c r="EH127" s="148"/>
      <c r="EI127" s="148"/>
      <c r="EJ127" s="148"/>
      <c r="EK127" s="148"/>
      <c r="EL127" s="148"/>
      <c r="EM127" s="148"/>
      <c r="EN127" s="148"/>
      <c r="EO127" s="148"/>
      <c r="EP127" s="148"/>
      <c r="EQ127" s="148"/>
      <c r="ER127" s="148"/>
      <c r="ES127" s="148"/>
      <c r="ET127" s="148"/>
      <c r="EU127" s="148"/>
      <c r="EV127" s="148"/>
      <c r="EW127" s="148"/>
      <c r="EX127" s="148"/>
      <c r="EY127" s="148"/>
      <c r="EZ127" s="148"/>
      <c r="FA127" s="148"/>
      <c r="FB127" s="148"/>
      <c r="FC127" s="148"/>
      <c r="FD127" s="148"/>
      <c r="FE127" s="148"/>
      <c r="FF127" s="148"/>
      <c r="FG127" s="148"/>
      <c r="FH127" s="148"/>
      <c r="FI127" s="148"/>
      <c r="FJ127" s="148"/>
      <c r="FK127" s="148"/>
      <c r="FL127" s="148"/>
      <c r="FM127" s="148"/>
      <c r="FN127" s="148"/>
      <c r="FO127" s="148"/>
      <c r="FP127" s="148"/>
      <c r="FQ127" s="148"/>
      <c r="FR127" s="148"/>
      <c r="FS127" s="148"/>
      <c r="FT127" s="148"/>
      <c r="FU127" s="148"/>
      <c r="FV127" s="148"/>
      <c r="FW127" s="148"/>
      <c r="FX127" s="148"/>
      <c r="FY127" s="148"/>
      <c r="FZ127" s="148"/>
      <c r="GA127" s="148"/>
      <c r="GB127" s="148"/>
      <c r="GC127" s="148"/>
      <c r="GD127" s="148"/>
      <c r="GE127" s="148"/>
      <c r="GF127" s="148"/>
      <c r="GG127" s="148"/>
      <c r="GH127" s="148"/>
      <c r="GI127" s="148"/>
      <c r="GJ127" s="148"/>
      <c r="GK127" s="148"/>
      <c r="GL127" s="148"/>
      <c r="GM127" s="148"/>
      <c r="GN127" s="148"/>
      <c r="GO127" s="148"/>
      <c r="GP127" s="148"/>
      <c r="GQ127" s="148"/>
      <c r="GR127" s="148"/>
      <c r="GS127" s="148"/>
      <c r="GT127" s="148"/>
      <c r="GU127" s="148"/>
      <c r="GV127" s="148"/>
      <c r="GW127" s="148"/>
      <c r="GX127" s="148"/>
      <c r="GY127" s="148"/>
      <c r="GZ127" s="148"/>
      <c r="HA127" s="148"/>
      <c r="HB127" s="148"/>
      <c r="HC127" s="148"/>
      <c r="HD127" s="148"/>
      <c r="HE127" s="148"/>
      <c r="HF127" s="148"/>
      <c r="HG127" s="148"/>
      <c r="HH127" s="148"/>
      <c r="HI127" s="148"/>
      <c r="HJ127" s="148"/>
      <c r="HK127" s="148"/>
      <c r="HL127" s="148"/>
      <c r="HM127" s="148"/>
      <c r="HN127" s="148"/>
      <c r="HO127" s="148"/>
      <c r="HP127" s="148"/>
      <c r="HQ127" s="148"/>
      <c r="HR127" s="148"/>
      <c r="HS127" s="148"/>
      <c r="HT127" s="148"/>
      <c r="HU127" s="148"/>
      <c r="HV127" s="148"/>
      <c r="HW127" s="148"/>
      <c r="HX127" s="148"/>
      <c r="HY127" s="148"/>
      <c r="HZ127" s="148"/>
      <c r="IA127" s="148"/>
      <c r="IB127" s="148"/>
      <c r="IC127" s="148"/>
      <c r="ID127" s="148"/>
      <c r="IE127" s="148"/>
      <c r="IF127" s="148"/>
      <c r="IG127" s="148"/>
      <c r="IH127" s="148"/>
      <c r="II127" s="148"/>
      <c r="IJ127" s="148"/>
      <c r="IK127" s="148"/>
      <c r="IL127" s="148"/>
      <c r="IM127" s="148"/>
      <c r="IN127" s="148"/>
      <c r="IO127" s="148"/>
      <c r="IP127" s="148"/>
      <c r="IQ127" s="148"/>
      <c r="IR127" s="148"/>
      <c r="IS127" s="148"/>
      <c r="IT127" s="148"/>
      <c r="IU127" s="148"/>
      <c r="IV127" s="148"/>
    </row>
    <row r="128" spans="1:256" ht="31.15" customHeight="1">
      <c r="A128" s="217"/>
      <c r="B128" s="218"/>
      <c r="C128" s="219" t="s">
        <v>166</v>
      </c>
      <c r="D128" s="220">
        <f>SUM(D122+1)</f>
        <v>111</v>
      </c>
      <c r="E128" s="221" t="s">
        <v>175</v>
      </c>
      <c r="F128" s="222"/>
      <c r="G128" s="225"/>
      <c r="H128" s="222" t="s">
        <v>176</v>
      </c>
      <c r="I128" s="223"/>
      <c r="J128" s="224" t="s">
        <v>169</v>
      </c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</row>
    <row r="129" spans="1:256" s="149" customFormat="1" ht="51.4" customHeight="1">
      <c r="A129" s="139"/>
      <c r="B129" s="140"/>
      <c r="C129" s="141" t="s">
        <v>166</v>
      </c>
      <c r="D129" s="142">
        <f t="shared" si="5"/>
        <v>112</v>
      </c>
      <c r="E129" s="143" t="s">
        <v>158</v>
      </c>
      <c r="F129" s="144"/>
      <c r="G129" s="150"/>
      <c r="H129" s="144" t="s">
        <v>176</v>
      </c>
      <c r="I129" s="146"/>
      <c r="J129" s="147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148"/>
      <c r="AE129" s="148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  <c r="CJ129" s="148"/>
      <c r="CK129" s="148"/>
      <c r="CL129" s="148"/>
      <c r="CM129" s="148"/>
      <c r="CN129" s="148"/>
      <c r="CO129" s="148"/>
      <c r="CP129" s="148"/>
      <c r="CQ129" s="148"/>
      <c r="CR129" s="148"/>
      <c r="CS129" s="148"/>
      <c r="CT129" s="148"/>
      <c r="CU129" s="148"/>
      <c r="CV129" s="148"/>
      <c r="CW129" s="148"/>
      <c r="CX129" s="148"/>
      <c r="CY129" s="148"/>
      <c r="CZ129" s="148"/>
      <c r="DA129" s="148"/>
      <c r="DB129" s="148"/>
      <c r="DC129" s="148"/>
      <c r="DD129" s="148"/>
      <c r="DE129" s="148"/>
      <c r="DF129" s="148"/>
      <c r="DG129" s="148"/>
      <c r="DH129" s="148"/>
      <c r="DI129" s="148"/>
      <c r="DJ129" s="148"/>
      <c r="DK129" s="148"/>
      <c r="DL129" s="148"/>
      <c r="DM129" s="148"/>
      <c r="DN129" s="148"/>
      <c r="DO129" s="148"/>
      <c r="DP129" s="148"/>
      <c r="DQ129" s="148"/>
      <c r="DR129" s="148"/>
      <c r="DS129" s="148"/>
      <c r="DT129" s="148"/>
      <c r="DU129" s="148"/>
      <c r="DV129" s="148"/>
      <c r="DW129" s="148"/>
      <c r="DX129" s="148"/>
      <c r="DY129" s="148"/>
      <c r="DZ129" s="148"/>
      <c r="EA129" s="148"/>
      <c r="EB129" s="148"/>
      <c r="EC129" s="148"/>
      <c r="ED129" s="148"/>
      <c r="EE129" s="148"/>
      <c r="EF129" s="148"/>
      <c r="EG129" s="148"/>
      <c r="EH129" s="148"/>
      <c r="EI129" s="148"/>
      <c r="EJ129" s="148"/>
      <c r="EK129" s="148"/>
      <c r="EL129" s="148"/>
      <c r="EM129" s="148"/>
      <c r="EN129" s="148"/>
      <c r="EO129" s="148"/>
      <c r="EP129" s="148"/>
      <c r="EQ129" s="148"/>
      <c r="ER129" s="148"/>
      <c r="ES129" s="148"/>
      <c r="ET129" s="148"/>
      <c r="EU129" s="148"/>
      <c r="EV129" s="148"/>
      <c r="EW129" s="148"/>
      <c r="EX129" s="148"/>
      <c r="EY129" s="148"/>
      <c r="EZ129" s="148"/>
      <c r="FA129" s="148"/>
      <c r="FB129" s="148"/>
      <c r="FC129" s="148"/>
      <c r="FD129" s="148"/>
      <c r="FE129" s="148"/>
      <c r="FF129" s="148"/>
      <c r="FG129" s="148"/>
      <c r="FH129" s="148"/>
      <c r="FI129" s="148"/>
      <c r="FJ129" s="148"/>
      <c r="FK129" s="148"/>
      <c r="FL129" s="148"/>
      <c r="FM129" s="148"/>
      <c r="FN129" s="148"/>
      <c r="FO129" s="148"/>
      <c r="FP129" s="148"/>
      <c r="FQ129" s="148"/>
      <c r="FR129" s="148"/>
      <c r="FS129" s="148"/>
      <c r="FT129" s="148"/>
      <c r="FU129" s="148"/>
      <c r="FV129" s="148"/>
      <c r="FW129" s="148"/>
      <c r="FX129" s="148"/>
      <c r="FY129" s="148"/>
      <c r="FZ129" s="148"/>
      <c r="GA129" s="148"/>
      <c r="GB129" s="148"/>
      <c r="GC129" s="148"/>
      <c r="GD129" s="148"/>
      <c r="GE129" s="148"/>
      <c r="GF129" s="148"/>
      <c r="GG129" s="148"/>
      <c r="GH129" s="148"/>
      <c r="GI129" s="148"/>
      <c r="GJ129" s="148"/>
      <c r="GK129" s="148"/>
      <c r="GL129" s="148"/>
      <c r="GM129" s="148"/>
      <c r="GN129" s="148"/>
      <c r="GO129" s="148"/>
      <c r="GP129" s="148"/>
      <c r="GQ129" s="148"/>
      <c r="GR129" s="148"/>
      <c r="GS129" s="148"/>
      <c r="GT129" s="148"/>
      <c r="GU129" s="148"/>
      <c r="GV129" s="148"/>
      <c r="GW129" s="148"/>
      <c r="GX129" s="148"/>
      <c r="GY129" s="148"/>
      <c r="GZ129" s="148"/>
      <c r="HA129" s="148"/>
      <c r="HB129" s="148"/>
      <c r="HC129" s="148"/>
      <c r="HD129" s="148"/>
      <c r="HE129" s="148"/>
      <c r="HF129" s="148"/>
      <c r="HG129" s="148"/>
      <c r="HH129" s="148"/>
      <c r="HI129" s="148"/>
      <c r="HJ129" s="148"/>
      <c r="HK129" s="148"/>
      <c r="HL129" s="148"/>
      <c r="HM129" s="148"/>
      <c r="HN129" s="148"/>
      <c r="HO129" s="148"/>
      <c r="HP129" s="148"/>
      <c r="HQ129" s="148"/>
      <c r="HR129" s="148"/>
      <c r="HS129" s="148"/>
      <c r="HT129" s="148"/>
      <c r="HU129" s="148"/>
      <c r="HV129" s="148"/>
      <c r="HW129" s="148"/>
      <c r="HX129" s="148"/>
      <c r="HY129" s="148"/>
      <c r="HZ129" s="148"/>
      <c r="IA129" s="148"/>
      <c r="IB129" s="148"/>
      <c r="IC129" s="148"/>
      <c r="ID129" s="148"/>
      <c r="IE129" s="148"/>
      <c r="IF129" s="148"/>
      <c r="IG129" s="148"/>
      <c r="IH129" s="148"/>
      <c r="II129" s="148"/>
      <c r="IJ129" s="148"/>
      <c r="IK129" s="148"/>
      <c r="IL129" s="148"/>
      <c r="IM129" s="148"/>
      <c r="IN129" s="148"/>
      <c r="IO129" s="148"/>
      <c r="IP129" s="148"/>
      <c r="IQ129" s="148"/>
      <c r="IR129" s="148"/>
      <c r="IS129" s="148"/>
      <c r="IT129" s="148"/>
      <c r="IU129" s="148"/>
      <c r="IV129" s="148"/>
    </row>
    <row r="130" spans="1:256" s="149" customFormat="1" ht="51.4" customHeight="1">
      <c r="A130" s="139"/>
      <c r="B130" s="140"/>
      <c r="C130" s="141" t="s">
        <v>166</v>
      </c>
      <c r="D130" s="142">
        <f t="shared" si="5"/>
        <v>113</v>
      </c>
      <c r="E130" s="143" t="s">
        <v>160</v>
      </c>
      <c r="F130" s="144"/>
      <c r="G130" s="150"/>
      <c r="H130" s="144" t="s">
        <v>176</v>
      </c>
      <c r="I130" s="146"/>
      <c r="J130" s="147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  <c r="AD130" s="148"/>
      <c r="AE130" s="148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  <c r="CJ130" s="148"/>
      <c r="CK130" s="148"/>
      <c r="CL130" s="148"/>
      <c r="CM130" s="148"/>
      <c r="CN130" s="148"/>
      <c r="CO130" s="148"/>
      <c r="CP130" s="148"/>
      <c r="CQ130" s="148"/>
      <c r="CR130" s="148"/>
      <c r="CS130" s="148"/>
      <c r="CT130" s="148"/>
      <c r="CU130" s="148"/>
      <c r="CV130" s="148"/>
      <c r="CW130" s="148"/>
      <c r="CX130" s="148"/>
      <c r="CY130" s="148"/>
      <c r="CZ130" s="148"/>
      <c r="DA130" s="148"/>
      <c r="DB130" s="148"/>
      <c r="DC130" s="148"/>
      <c r="DD130" s="148"/>
      <c r="DE130" s="148"/>
      <c r="DF130" s="148"/>
      <c r="DG130" s="148"/>
      <c r="DH130" s="148"/>
      <c r="DI130" s="148"/>
      <c r="DJ130" s="148"/>
      <c r="DK130" s="148"/>
      <c r="DL130" s="148"/>
      <c r="DM130" s="148"/>
      <c r="DN130" s="148"/>
      <c r="DO130" s="148"/>
      <c r="DP130" s="148"/>
      <c r="DQ130" s="148"/>
      <c r="DR130" s="148"/>
      <c r="DS130" s="148"/>
      <c r="DT130" s="148"/>
      <c r="DU130" s="148"/>
      <c r="DV130" s="148"/>
      <c r="DW130" s="148"/>
      <c r="DX130" s="148"/>
      <c r="DY130" s="148"/>
      <c r="DZ130" s="148"/>
      <c r="EA130" s="148"/>
      <c r="EB130" s="148"/>
      <c r="EC130" s="148"/>
      <c r="ED130" s="148"/>
      <c r="EE130" s="148"/>
      <c r="EF130" s="148"/>
      <c r="EG130" s="148"/>
      <c r="EH130" s="148"/>
      <c r="EI130" s="148"/>
      <c r="EJ130" s="148"/>
      <c r="EK130" s="148"/>
      <c r="EL130" s="148"/>
      <c r="EM130" s="148"/>
      <c r="EN130" s="148"/>
      <c r="EO130" s="148"/>
      <c r="EP130" s="148"/>
      <c r="EQ130" s="148"/>
      <c r="ER130" s="148"/>
      <c r="ES130" s="148"/>
      <c r="ET130" s="148"/>
      <c r="EU130" s="148"/>
      <c r="EV130" s="148"/>
      <c r="EW130" s="148"/>
      <c r="EX130" s="148"/>
      <c r="EY130" s="148"/>
      <c r="EZ130" s="148"/>
      <c r="FA130" s="148"/>
      <c r="FB130" s="148"/>
      <c r="FC130" s="148"/>
      <c r="FD130" s="148"/>
      <c r="FE130" s="148"/>
      <c r="FF130" s="148"/>
      <c r="FG130" s="148"/>
      <c r="FH130" s="148"/>
      <c r="FI130" s="148"/>
      <c r="FJ130" s="148"/>
      <c r="FK130" s="148"/>
      <c r="FL130" s="148"/>
      <c r="FM130" s="148"/>
      <c r="FN130" s="148"/>
      <c r="FO130" s="148"/>
      <c r="FP130" s="148"/>
      <c r="FQ130" s="148"/>
      <c r="FR130" s="148"/>
      <c r="FS130" s="148"/>
      <c r="FT130" s="148"/>
      <c r="FU130" s="148"/>
      <c r="FV130" s="148"/>
      <c r="FW130" s="148"/>
      <c r="FX130" s="148"/>
      <c r="FY130" s="148"/>
      <c r="FZ130" s="148"/>
      <c r="GA130" s="148"/>
      <c r="GB130" s="148"/>
      <c r="GC130" s="148"/>
      <c r="GD130" s="148"/>
      <c r="GE130" s="148"/>
      <c r="GF130" s="148"/>
      <c r="GG130" s="148"/>
      <c r="GH130" s="148"/>
      <c r="GI130" s="148"/>
      <c r="GJ130" s="148"/>
      <c r="GK130" s="148"/>
      <c r="GL130" s="148"/>
      <c r="GM130" s="148"/>
      <c r="GN130" s="148"/>
      <c r="GO130" s="148"/>
      <c r="GP130" s="148"/>
      <c r="GQ130" s="148"/>
      <c r="GR130" s="148"/>
      <c r="GS130" s="148"/>
      <c r="GT130" s="148"/>
      <c r="GU130" s="148"/>
      <c r="GV130" s="148"/>
      <c r="GW130" s="148"/>
      <c r="GX130" s="148"/>
      <c r="GY130" s="148"/>
      <c r="GZ130" s="148"/>
      <c r="HA130" s="148"/>
      <c r="HB130" s="148"/>
      <c r="HC130" s="148"/>
      <c r="HD130" s="148"/>
      <c r="HE130" s="148"/>
      <c r="HF130" s="148"/>
      <c r="HG130" s="148"/>
      <c r="HH130" s="148"/>
      <c r="HI130" s="148"/>
      <c r="HJ130" s="148"/>
      <c r="HK130" s="148"/>
      <c r="HL130" s="148"/>
      <c r="HM130" s="148"/>
      <c r="HN130" s="148"/>
      <c r="HO130" s="148"/>
      <c r="HP130" s="148"/>
      <c r="HQ130" s="148"/>
      <c r="HR130" s="148"/>
      <c r="HS130" s="148"/>
      <c r="HT130" s="148"/>
      <c r="HU130" s="148"/>
      <c r="HV130" s="148"/>
      <c r="HW130" s="148"/>
      <c r="HX130" s="148"/>
      <c r="HY130" s="148"/>
      <c r="HZ130" s="148"/>
      <c r="IA130" s="148"/>
      <c r="IB130" s="148"/>
      <c r="IC130" s="148"/>
      <c r="ID130" s="148"/>
      <c r="IE130" s="148"/>
      <c r="IF130" s="148"/>
      <c r="IG130" s="148"/>
      <c r="IH130" s="148"/>
      <c r="II130" s="148"/>
      <c r="IJ130" s="148"/>
      <c r="IK130" s="148"/>
      <c r="IL130" s="148"/>
      <c r="IM130" s="148"/>
      <c r="IN130" s="148"/>
      <c r="IO130" s="148"/>
      <c r="IP130" s="148"/>
      <c r="IQ130" s="148"/>
      <c r="IR130" s="148"/>
      <c r="IS130" s="148"/>
      <c r="IT130" s="148"/>
      <c r="IU130" s="148"/>
      <c r="IV130" s="148"/>
    </row>
    <row r="131" spans="1:256" s="149" customFormat="1" ht="56.25" customHeight="1">
      <c r="A131" s="139"/>
      <c r="B131" s="140"/>
      <c r="C131" s="141" t="s">
        <v>166</v>
      </c>
      <c r="D131" s="142">
        <f t="shared" si="5"/>
        <v>114</v>
      </c>
      <c r="E131" s="143" t="s">
        <v>174</v>
      </c>
      <c r="F131" s="144"/>
      <c r="G131" s="150"/>
      <c r="H131" s="144" t="s">
        <v>176</v>
      </c>
      <c r="I131" s="146"/>
      <c r="J131" s="147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  <c r="CJ131" s="148"/>
      <c r="CK131" s="148"/>
      <c r="CL131" s="148"/>
      <c r="CM131" s="148"/>
      <c r="CN131" s="148"/>
      <c r="CO131" s="148"/>
      <c r="CP131" s="148"/>
      <c r="CQ131" s="148"/>
      <c r="CR131" s="148"/>
      <c r="CS131" s="148"/>
      <c r="CT131" s="148"/>
      <c r="CU131" s="148"/>
      <c r="CV131" s="148"/>
      <c r="CW131" s="148"/>
      <c r="CX131" s="148"/>
      <c r="CY131" s="148"/>
      <c r="CZ131" s="148"/>
      <c r="DA131" s="148"/>
      <c r="DB131" s="148"/>
      <c r="DC131" s="148"/>
      <c r="DD131" s="148"/>
      <c r="DE131" s="148"/>
      <c r="DF131" s="148"/>
      <c r="DG131" s="148"/>
      <c r="DH131" s="148"/>
      <c r="DI131" s="148"/>
      <c r="DJ131" s="148"/>
      <c r="DK131" s="148"/>
      <c r="DL131" s="148"/>
      <c r="DM131" s="148"/>
      <c r="DN131" s="148"/>
      <c r="DO131" s="148"/>
      <c r="DP131" s="148"/>
      <c r="DQ131" s="148"/>
      <c r="DR131" s="148"/>
      <c r="DS131" s="148"/>
      <c r="DT131" s="148"/>
      <c r="DU131" s="148"/>
      <c r="DV131" s="148"/>
      <c r="DW131" s="148"/>
      <c r="DX131" s="148"/>
      <c r="DY131" s="148"/>
      <c r="DZ131" s="148"/>
      <c r="EA131" s="148"/>
      <c r="EB131" s="148"/>
      <c r="EC131" s="148"/>
      <c r="ED131" s="148"/>
      <c r="EE131" s="148"/>
      <c r="EF131" s="148"/>
      <c r="EG131" s="148"/>
      <c r="EH131" s="148"/>
      <c r="EI131" s="148"/>
      <c r="EJ131" s="148"/>
      <c r="EK131" s="148"/>
      <c r="EL131" s="148"/>
      <c r="EM131" s="148"/>
      <c r="EN131" s="148"/>
      <c r="EO131" s="148"/>
      <c r="EP131" s="148"/>
      <c r="EQ131" s="148"/>
      <c r="ER131" s="148"/>
      <c r="ES131" s="148"/>
      <c r="ET131" s="148"/>
      <c r="EU131" s="148"/>
      <c r="EV131" s="148"/>
      <c r="EW131" s="148"/>
      <c r="EX131" s="148"/>
      <c r="EY131" s="148"/>
      <c r="EZ131" s="148"/>
      <c r="FA131" s="148"/>
      <c r="FB131" s="148"/>
      <c r="FC131" s="148"/>
      <c r="FD131" s="148"/>
      <c r="FE131" s="148"/>
      <c r="FF131" s="148"/>
      <c r="FG131" s="148"/>
      <c r="FH131" s="148"/>
      <c r="FI131" s="148"/>
      <c r="FJ131" s="148"/>
      <c r="FK131" s="148"/>
      <c r="FL131" s="148"/>
      <c r="FM131" s="148"/>
      <c r="FN131" s="148"/>
      <c r="FO131" s="148"/>
      <c r="FP131" s="148"/>
      <c r="FQ131" s="148"/>
      <c r="FR131" s="148"/>
      <c r="FS131" s="148"/>
      <c r="FT131" s="148"/>
      <c r="FU131" s="148"/>
      <c r="FV131" s="148"/>
      <c r="FW131" s="148"/>
      <c r="FX131" s="148"/>
      <c r="FY131" s="148"/>
      <c r="FZ131" s="148"/>
      <c r="GA131" s="148"/>
      <c r="GB131" s="148"/>
      <c r="GC131" s="148"/>
      <c r="GD131" s="148"/>
      <c r="GE131" s="148"/>
      <c r="GF131" s="148"/>
      <c r="GG131" s="148"/>
      <c r="GH131" s="148"/>
      <c r="GI131" s="148"/>
      <c r="GJ131" s="148"/>
      <c r="GK131" s="148"/>
      <c r="GL131" s="148"/>
      <c r="GM131" s="148"/>
      <c r="GN131" s="148"/>
      <c r="GO131" s="148"/>
      <c r="GP131" s="148"/>
      <c r="GQ131" s="148"/>
      <c r="GR131" s="148"/>
      <c r="GS131" s="148"/>
      <c r="GT131" s="148"/>
      <c r="GU131" s="148"/>
      <c r="GV131" s="148"/>
      <c r="GW131" s="148"/>
      <c r="GX131" s="148"/>
      <c r="GY131" s="148"/>
      <c r="GZ131" s="148"/>
      <c r="HA131" s="148"/>
      <c r="HB131" s="148"/>
      <c r="HC131" s="148"/>
      <c r="HD131" s="148"/>
      <c r="HE131" s="148"/>
      <c r="HF131" s="148"/>
      <c r="HG131" s="148"/>
      <c r="HH131" s="148"/>
      <c r="HI131" s="148"/>
      <c r="HJ131" s="148"/>
      <c r="HK131" s="148"/>
      <c r="HL131" s="148"/>
      <c r="HM131" s="148"/>
      <c r="HN131" s="148"/>
      <c r="HO131" s="148"/>
      <c r="HP131" s="148"/>
      <c r="HQ131" s="148"/>
      <c r="HR131" s="148"/>
      <c r="HS131" s="148"/>
      <c r="HT131" s="148"/>
      <c r="HU131" s="148"/>
      <c r="HV131" s="148"/>
      <c r="HW131" s="148"/>
      <c r="HX131" s="148"/>
      <c r="HY131" s="148"/>
      <c r="HZ131" s="148"/>
      <c r="IA131" s="148"/>
      <c r="IB131" s="148"/>
      <c r="IC131" s="148"/>
      <c r="ID131" s="148"/>
      <c r="IE131" s="148"/>
      <c r="IF131" s="148"/>
      <c r="IG131" s="148"/>
      <c r="IH131" s="148"/>
      <c r="II131" s="148"/>
      <c r="IJ131" s="148"/>
      <c r="IK131" s="148"/>
      <c r="IL131" s="148"/>
      <c r="IM131" s="148"/>
      <c r="IN131" s="148"/>
      <c r="IO131" s="148"/>
      <c r="IP131" s="148"/>
      <c r="IQ131" s="148"/>
      <c r="IR131" s="148"/>
      <c r="IS131" s="148"/>
      <c r="IT131" s="148"/>
      <c r="IU131" s="148"/>
      <c r="IV131" s="148"/>
    </row>
    <row r="132" spans="1:256" s="149" customFormat="1" ht="51.4" customHeight="1">
      <c r="A132" s="139"/>
      <c r="B132" s="140">
        <v>0.31111111111111112</v>
      </c>
      <c r="C132" s="141" t="s">
        <v>166</v>
      </c>
      <c r="D132" s="142">
        <f t="shared" si="5"/>
        <v>115</v>
      </c>
      <c r="E132" s="143" t="s">
        <v>162</v>
      </c>
      <c r="F132" s="144"/>
      <c r="G132" s="150"/>
      <c r="H132" s="144" t="s">
        <v>176</v>
      </c>
      <c r="I132" s="146"/>
      <c r="J132" s="147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  <c r="CJ132" s="148"/>
      <c r="CK132" s="148"/>
      <c r="CL132" s="148"/>
      <c r="CM132" s="148"/>
      <c r="CN132" s="148"/>
      <c r="CO132" s="148"/>
      <c r="CP132" s="148"/>
      <c r="CQ132" s="148"/>
      <c r="CR132" s="148"/>
      <c r="CS132" s="148"/>
      <c r="CT132" s="148"/>
      <c r="CU132" s="148"/>
      <c r="CV132" s="148"/>
      <c r="CW132" s="148"/>
      <c r="CX132" s="148"/>
      <c r="CY132" s="148"/>
      <c r="CZ132" s="148"/>
      <c r="DA132" s="148"/>
      <c r="DB132" s="148"/>
      <c r="DC132" s="148"/>
      <c r="DD132" s="148"/>
      <c r="DE132" s="148"/>
      <c r="DF132" s="148"/>
      <c r="DG132" s="148"/>
      <c r="DH132" s="148"/>
      <c r="DI132" s="148"/>
      <c r="DJ132" s="148"/>
      <c r="DK132" s="148"/>
      <c r="DL132" s="148"/>
      <c r="DM132" s="148"/>
      <c r="DN132" s="148"/>
      <c r="DO132" s="148"/>
      <c r="DP132" s="148"/>
      <c r="DQ132" s="148"/>
      <c r="DR132" s="148"/>
      <c r="DS132" s="148"/>
      <c r="DT132" s="148"/>
      <c r="DU132" s="148"/>
      <c r="DV132" s="148"/>
      <c r="DW132" s="148"/>
      <c r="DX132" s="148"/>
      <c r="DY132" s="148"/>
      <c r="DZ132" s="148"/>
      <c r="EA132" s="148"/>
      <c r="EB132" s="148"/>
      <c r="EC132" s="148"/>
      <c r="ED132" s="148"/>
      <c r="EE132" s="148"/>
      <c r="EF132" s="148"/>
      <c r="EG132" s="148"/>
      <c r="EH132" s="148"/>
      <c r="EI132" s="148"/>
      <c r="EJ132" s="148"/>
      <c r="EK132" s="148"/>
      <c r="EL132" s="148"/>
      <c r="EM132" s="148"/>
      <c r="EN132" s="148"/>
      <c r="EO132" s="148"/>
      <c r="EP132" s="148"/>
      <c r="EQ132" s="148"/>
      <c r="ER132" s="148"/>
      <c r="ES132" s="148"/>
      <c r="ET132" s="148"/>
      <c r="EU132" s="148"/>
      <c r="EV132" s="148"/>
      <c r="EW132" s="148"/>
      <c r="EX132" s="148"/>
      <c r="EY132" s="148"/>
      <c r="EZ132" s="148"/>
      <c r="FA132" s="148"/>
      <c r="FB132" s="148"/>
      <c r="FC132" s="148"/>
      <c r="FD132" s="148"/>
      <c r="FE132" s="148"/>
      <c r="FF132" s="148"/>
      <c r="FG132" s="148"/>
      <c r="FH132" s="148"/>
      <c r="FI132" s="148"/>
      <c r="FJ132" s="148"/>
      <c r="FK132" s="148"/>
      <c r="FL132" s="148"/>
      <c r="FM132" s="148"/>
      <c r="FN132" s="148"/>
      <c r="FO132" s="148"/>
      <c r="FP132" s="148"/>
      <c r="FQ132" s="148"/>
      <c r="FR132" s="148"/>
      <c r="FS132" s="148"/>
      <c r="FT132" s="148"/>
      <c r="FU132" s="148"/>
      <c r="FV132" s="148"/>
      <c r="FW132" s="148"/>
      <c r="FX132" s="148"/>
      <c r="FY132" s="148"/>
      <c r="FZ132" s="148"/>
      <c r="GA132" s="148"/>
      <c r="GB132" s="148"/>
      <c r="GC132" s="148"/>
      <c r="GD132" s="148"/>
      <c r="GE132" s="148"/>
      <c r="GF132" s="148"/>
      <c r="GG132" s="148"/>
      <c r="GH132" s="148"/>
      <c r="GI132" s="148"/>
      <c r="GJ132" s="148"/>
      <c r="GK132" s="148"/>
      <c r="GL132" s="148"/>
      <c r="GM132" s="148"/>
      <c r="GN132" s="148"/>
      <c r="GO132" s="148"/>
      <c r="GP132" s="148"/>
      <c r="GQ132" s="148"/>
      <c r="GR132" s="148"/>
      <c r="GS132" s="148"/>
      <c r="GT132" s="148"/>
      <c r="GU132" s="148"/>
      <c r="GV132" s="148"/>
      <c r="GW132" s="148"/>
      <c r="GX132" s="148"/>
      <c r="GY132" s="148"/>
      <c r="GZ132" s="148"/>
      <c r="HA132" s="148"/>
      <c r="HB132" s="148"/>
      <c r="HC132" s="148"/>
      <c r="HD132" s="148"/>
      <c r="HE132" s="148"/>
      <c r="HF132" s="148"/>
      <c r="HG132" s="148"/>
      <c r="HH132" s="148"/>
      <c r="HI132" s="148"/>
      <c r="HJ132" s="148"/>
      <c r="HK132" s="148"/>
      <c r="HL132" s="148"/>
      <c r="HM132" s="148"/>
      <c r="HN132" s="148"/>
      <c r="HO132" s="148"/>
      <c r="HP132" s="148"/>
      <c r="HQ132" s="148"/>
      <c r="HR132" s="148"/>
      <c r="HS132" s="148"/>
      <c r="HT132" s="148"/>
      <c r="HU132" s="148"/>
      <c r="HV132" s="148"/>
      <c r="HW132" s="148"/>
      <c r="HX132" s="148"/>
      <c r="HY132" s="148"/>
      <c r="HZ132" s="148"/>
      <c r="IA132" s="148"/>
      <c r="IB132" s="148"/>
      <c r="IC132" s="148"/>
      <c r="ID132" s="148"/>
      <c r="IE132" s="148"/>
      <c r="IF132" s="148"/>
      <c r="IG132" s="148"/>
      <c r="IH132" s="148"/>
      <c r="II132" s="148"/>
      <c r="IJ132" s="148"/>
      <c r="IK132" s="148"/>
      <c r="IL132" s="148"/>
      <c r="IM132" s="148"/>
      <c r="IN132" s="148"/>
      <c r="IO132" s="148"/>
      <c r="IP132" s="148"/>
      <c r="IQ132" s="148"/>
      <c r="IR132" s="148"/>
      <c r="IS132" s="148"/>
      <c r="IT132" s="148"/>
      <c r="IU132" s="148"/>
      <c r="IV132" s="148"/>
    </row>
    <row r="133" spans="1:256" ht="42" customHeight="1">
      <c r="A133" s="79"/>
      <c r="B133" s="73" t="s">
        <v>131</v>
      </c>
      <c r="C133" s="74" t="s">
        <v>34</v>
      </c>
      <c r="D133" s="75">
        <f>SUM(D127+1)</f>
        <v>111</v>
      </c>
      <c r="E133" s="42" t="s">
        <v>177</v>
      </c>
      <c r="F133" s="76"/>
      <c r="G133" s="76"/>
      <c r="H133" s="76"/>
      <c r="I133" s="77"/>
      <c r="J133" s="123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</row>
    <row r="134" spans="1:256" ht="58.5" customHeight="1">
      <c r="A134" s="43"/>
      <c r="B134" s="44"/>
      <c r="C134" s="36" t="s">
        <v>34</v>
      </c>
      <c r="D134" s="37">
        <f t="shared" si="5"/>
        <v>112</v>
      </c>
      <c r="E134" s="38" t="s">
        <v>178</v>
      </c>
      <c r="F134" s="39"/>
      <c r="G134" s="39" t="s">
        <v>168</v>
      </c>
      <c r="H134" s="151" t="s">
        <v>179</v>
      </c>
      <c r="I134" s="65"/>
      <c r="J134" s="62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</row>
    <row r="135" spans="1:256" ht="43.5" customHeight="1">
      <c r="A135" s="43"/>
      <c r="B135" s="35" t="s">
        <v>18</v>
      </c>
      <c r="C135" s="36" t="s">
        <v>34</v>
      </c>
      <c r="D135" s="37">
        <f t="shared" si="5"/>
        <v>113</v>
      </c>
      <c r="E135" s="38" t="s">
        <v>180</v>
      </c>
      <c r="F135" s="39"/>
      <c r="G135" s="39" t="s">
        <v>168</v>
      </c>
      <c r="H135" s="39"/>
      <c r="I135" s="65"/>
      <c r="J135" s="45" t="s">
        <v>34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</row>
    <row r="136" spans="1:256" ht="43.5" customHeight="1">
      <c r="A136" s="43"/>
      <c r="B136" s="35"/>
      <c r="C136" s="36" t="s">
        <v>34</v>
      </c>
      <c r="D136" s="37">
        <f t="shared" si="5"/>
        <v>114</v>
      </c>
      <c r="E136" s="38" t="s">
        <v>181</v>
      </c>
      <c r="F136" s="39"/>
      <c r="G136" s="39" t="s">
        <v>168</v>
      </c>
      <c r="H136" s="39"/>
      <c r="I136" s="65"/>
      <c r="J136" s="45" t="s">
        <v>182</v>
      </c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</row>
    <row r="137" spans="1:256" ht="43.5" customHeight="1">
      <c r="A137" s="43"/>
      <c r="B137" s="35"/>
      <c r="C137" s="36" t="s">
        <v>34</v>
      </c>
      <c r="D137" s="37">
        <f t="shared" si="5"/>
        <v>115</v>
      </c>
      <c r="E137" s="152" t="s">
        <v>183</v>
      </c>
      <c r="F137" s="39"/>
      <c r="G137" s="39" t="s">
        <v>168</v>
      </c>
      <c r="H137" s="39"/>
      <c r="I137" s="65"/>
      <c r="J137" s="45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</row>
    <row r="138" spans="1:256" ht="43.5" customHeight="1">
      <c r="A138" s="43"/>
      <c r="B138" s="35"/>
      <c r="C138" s="36" t="s">
        <v>34</v>
      </c>
      <c r="D138" s="37">
        <f t="shared" si="5"/>
        <v>116</v>
      </c>
      <c r="E138" s="153" t="s">
        <v>184</v>
      </c>
      <c r="F138" s="39"/>
      <c r="G138" s="39" t="s">
        <v>168</v>
      </c>
      <c r="H138" s="39"/>
      <c r="I138" s="65"/>
      <c r="J138" s="45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</row>
    <row r="139" spans="1:256" ht="172.5" customHeight="1">
      <c r="A139" s="43"/>
      <c r="B139" s="35"/>
      <c r="C139" s="36" t="s">
        <v>34</v>
      </c>
      <c r="D139" s="37">
        <f>SUM(D137+1)</f>
        <v>116</v>
      </c>
      <c r="E139" s="152"/>
      <c r="F139" s="39"/>
      <c r="G139" s="39" t="s">
        <v>168</v>
      </c>
      <c r="H139" s="39"/>
      <c r="I139" s="65"/>
      <c r="J139" s="45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</row>
    <row r="140" spans="1:256" ht="54.6" customHeight="1">
      <c r="A140" s="43"/>
      <c r="B140" s="35"/>
      <c r="C140" s="36" t="s">
        <v>34</v>
      </c>
      <c r="D140" s="37">
        <f t="shared" si="5"/>
        <v>117</v>
      </c>
      <c r="E140" s="152" t="s">
        <v>185</v>
      </c>
      <c r="F140" s="39"/>
      <c r="G140" s="39" t="s">
        <v>168</v>
      </c>
      <c r="H140" s="39"/>
      <c r="I140" s="65"/>
      <c r="J140" s="45" t="s">
        <v>186</v>
      </c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</row>
    <row r="141" spans="1:256" ht="165.6" customHeight="1">
      <c r="A141" s="99"/>
      <c r="B141" s="154"/>
      <c r="C141" s="101" t="s">
        <v>34</v>
      </c>
      <c r="D141" s="102">
        <f t="shared" si="5"/>
        <v>118</v>
      </c>
      <c r="E141" s="155" t="s">
        <v>187</v>
      </c>
      <c r="F141" s="104"/>
      <c r="G141" s="104" t="s">
        <v>168</v>
      </c>
      <c r="H141" s="104"/>
      <c r="I141" s="105"/>
      <c r="J141" s="156" t="s">
        <v>188</v>
      </c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</row>
    <row r="142" spans="1:256" ht="82.15" customHeight="1">
      <c r="A142" s="157"/>
      <c r="B142" s="35"/>
      <c r="C142" s="36" t="s">
        <v>34</v>
      </c>
      <c r="D142" s="37">
        <f t="shared" ref="D142:D168" si="6">SUM(D141+1)</f>
        <v>119</v>
      </c>
      <c r="E142" s="158" t="s">
        <v>189</v>
      </c>
      <c r="F142" s="39"/>
      <c r="G142" s="39" t="s">
        <v>168</v>
      </c>
      <c r="H142" s="39"/>
      <c r="I142" s="65"/>
      <c r="J142" s="159" t="s">
        <v>190</v>
      </c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</row>
    <row r="143" spans="1:256" ht="82.15" customHeight="1">
      <c r="A143" s="157"/>
      <c r="B143" s="35"/>
      <c r="C143" s="36" t="s">
        <v>34</v>
      </c>
      <c r="D143" s="37"/>
      <c r="E143" s="280" t="s">
        <v>191</v>
      </c>
      <c r="F143" s="39"/>
      <c r="G143" s="39" t="s">
        <v>51</v>
      </c>
      <c r="H143" s="39"/>
      <c r="I143" s="65"/>
      <c r="J143" s="159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</row>
    <row r="144" spans="1:256" s="290" customFormat="1" ht="96.6" customHeight="1">
      <c r="A144" s="281"/>
      <c r="B144" s="282"/>
      <c r="C144" s="283" t="s">
        <v>192</v>
      </c>
      <c r="D144" s="284"/>
      <c r="E144" s="285" t="s">
        <v>193</v>
      </c>
      <c r="F144" s="286"/>
      <c r="G144" s="286"/>
      <c r="H144" s="286"/>
      <c r="I144" s="287"/>
      <c r="J144" s="288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  <c r="AC144" s="289"/>
      <c r="AD144" s="289"/>
      <c r="AE144" s="289"/>
      <c r="AF144" s="289"/>
      <c r="AG144" s="289"/>
      <c r="AH144" s="289"/>
      <c r="AI144" s="289"/>
      <c r="AJ144" s="289"/>
      <c r="AK144" s="289"/>
      <c r="AL144" s="289"/>
      <c r="AM144" s="289"/>
      <c r="AN144" s="289"/>
      <c r="AO144" s="289"/>
      <c r="AP144" s="289"/>
      <c r="AQ144" s="289"/>
      <c r="AR144" s="289"/>
      <c r="AS144" s="289"/>
      <c r="AT144" s="289"/>
      <c r="AU144" s="289"/>
      <c r="AV144" s="289"/>
      <c r="AW144" s="289"/>
      <c r="AX144" s="289"/>
      <c r="AY144" s="289"/>
      <c r="AZ144" s="289"/>
      <c r="BA144" s="289"/>
      <c r="BB144" s="289"/>
      <c r="BC144" s="289"/>
      <c r="BD144" s="289"/>
      <c r="BE144" s="289"/>
      <c r="BF144" s="289"/>
      <c r="BG144" s="289"/>
      <c r="BH144" s="289"/>
      <c r="BI144" s="289"/>
      <c r="BJ144" s="289"/>
      <c r="BK144" s="289"/>
      <c r="BL144" s="289"/>
      <c r="BM144" s="289"/>
      <c r="BN144" s="289"/>
      <c r="BO144" s="289"/>
      <c r="BP144" s="289"/>
      <c r="BQ144" s="289"/>
      <c r="BR144" s="289"/>
      <c r="BS144" s="289"/>
      <c r="BT144" s="289"/>
      <c r="BU144" s="289"/>
      <c r="BV144" s="289"/>
      <c r="BW144" s="289"/>
      <c r="BX144" s="289"/>
      <c r="BY144" s="289"/>
      <c r="BZ144" s="289"/>
      <c r="CA144" s="289"/>
      <c r="CB144" s="289"/>
      <c r="CC144" s="289"/>
      <c r="CD144" s="289"/>
      <c r="CE144" s="289"/>
      <c r="CF144" s="289"/>
      <c r="CG144" s="289"/>
      <c r="CH144" s="289"/>
      <c r="CI144" s="289"/>
      <c r="CJ144" s="289"/>
      <c r="CK144" s="289"/>
      <c r="CL144" s="289"/>
      <c r="CM144" s="289"/>
      <c r="CN144" s="289"/>
      <c r="CO144" s="289"/>
      <c r="CP144" s="289"/>
      <c r="CQ144" s="289"/>
      <c r="CR144" s="289"/>
      <c r="CS144" s="289"/>
      <c r="CT144" s="289"/>
      <c r="CU144" s="289"/>
      <c r="CV144" s="289"/>
      <c r="CW144" s="289"/>
      <c r="CX144" s="289"/>
      <c r="CY144" s="289"/>
      <c r="CZ144" s="289"/>
      <c r="DA144" s="289"/>
      <c r="DB144" s="289"/>
      <c r="DC144" s="289"/>
      <c r="DD144" s="289"/>
      <c r="DE144" s="289"/>
      <c r="DF144" s="289"/>
      <c r="DG144" s="289"/>
      <c r="DH144" s="289"/>
      <c r="DI144" s="289"/>
      <c r="DJ144" s="289"/>
      <c r="DK144" s="289"/>
      <c r="DL144" s="289"/>
      <c r="DM144" s="289"/>
      <c r="DN144" s="289"/>
      <c r="DO144" s="289"/>
      <c r="DP144" s="289"/>
      <c r="DQ144" s="289"/>
      <c r="DR144" s="289"/>
      <c r="DS144" s="289"/>
      <c r="DT144" s="289"/>
      <c r="DU144" s="289"/>
      <c r="DV144" s="289"/>
      <c r="DW144" s="289"/>
      <c r="DX144" s="289"/>
      <c r="DY144" s="289"/>
      <c r="DZ144" s="289"/>
      <c r="EA144" s="289"/>
      <c r="EB144" s="289"/>
      <c r="EC144" s="289"/>
      <c r="ED144" s="289"/>
      <c r="EE144" s="289"/>
      <c r="EF144" s="289"/>
      <c r="EG144" s="289"/>
      <c r="EH144" s="289"/>
      <c r="EI144" s="289"/>
      <c r="EJ144" s="289"/>
      <c r="EK144" s="289"/>
      <c r="EL144" s="289"/>
      <c r="EM144" s="289"/>
      <c r="EN144" s="289"/>
      <c r="EO144" s="289"/>
      <c r="EP144" s="289"/>
      <c r="EQ144" s="289"/>
      <c r="ER144" s="289"/>
      <c r="ES144" s="289"/>
      <c r="ET144" s="289"/>
      <c r="EU144" s="289"/>
      <c r="EV144" s="289"/>
      <c r="EW144" s="289"/>
      <c r="EX144" s="289"/>
      <c r="EY144" s="289"/>
      <c r="EZ144" s="289"/>
      <c r="FA144" s="289"/>
      <c r="FB144" s="289"/>
      <c r="FC144" s="289"/>
      <c r="FD144" s="289"/>
      <c r="FE144" s="289"/>
      <c r="FF144" s="289"/>
      <c r="FG144" s="289"/>
      <c r="FH144" s="289"/>
      <c r="FI144" s="289"/>
      <c r="FJ144" s="289"/>
      <c r="FK144" s="289"/>
      <c r="FL144" s="289"/>
      <c r="FM144" s="289"/>
      <c r="FN144" s="289"/>
      <c r="FO144" s="289"/>
      <c r="FP144" s="289"/>
      <c r="FQ144" s="289"/>
      <c r="FR144" s="289"/>
      <c r="FS144" s="289"/>
      <c r="FT144" s="289"/>
      <c r="FU144" s="289"/>
      <c r="FV144" s="289"/>
      <c r="FW144" s="289"/>
      <c r="FX144" s="289"/>
      <c r="FY144" s="289"/>
      <c r="FZ144" s="289"/>
      <c r="GA144" s="289"/>
      <c r="GB144" s="289"/>
      <c r="GC144" s="289"/>
      <c r="GD144" s="289"/>
      <c r="GE144" s="289"/>
      <c r="GF144" s="289"/>
      <c r="GG144" s="289"/>
      <c r="GH144" s="289"/>
      <c r="GI144" s="289"/>
      <c r="GJ144" s="289"/>
      <c r="GK144" s="289"/>
      <c r="GL144" s="289"/>
      <c r="GM144" s="289"/>
      <c r="GN144" s="289"/>
      <c r="GO144" s="289"/>
      <c r="GP144" s="289"/>
      <c r="GQ144" s="289"/>
      <c r="GR144" s="289"/>
      <c r="GS144" s="289"/>
      <c r="GT144" s="289"/>
      <c r="GU144" s="289"/>
      <c r="GV144" s="289"/>
      <c r="GW144" s="289"/>
      <c r="GX144" s="289"/>
      <c r="GY144" s="289"/>
      <c r="GZ144" s="289"/>
      <c r="HA144" s="289"/>
      <c r="HB144" s="289"/>
      <c r="HC144" s="289"/>
      <c r="HD144" s="289"/>
      <c r="HE144" s="289"/>
      <c r="HF144" s="289"/>
      <c r="HG144" s="289"/>
      <c r="HH144" s="289"/>
      <c r="HI144" s="289"/>
      <c r="HJ144" s="289"/>
      <c r="HK144" s="289"/>
      <c r="HL144" s="289"/>
      <c r="HM144" s="289"/>
      <c r="HN144" s="289"/>
      <c r="HO144" s="289"/>
      <c r="HP144" s="289"/>
      <c r="HQ144" s="289"/>
      <c r="HR144" s="289"/>
      <c r="HS144" s="289"/>
      <c r="HT144" s="289"/>
      <c r="HU144" s="289"/>
      <c r="HV144" s="289"/>
      <c r="HW144" s="289"/>
      <c r="HX144" s="289"/>
      <c r="HY144" s="289"/>
      <c r="HZ144" s="289"/>
      <c r="IA144" s="289"/>
      <c r="IB144" s="289"/>
      <c r="IC144" s="289"/>
      <c r="ID144" s="289"/>
      <c r="IE144" s="289"/>
      <c r="IF144" s="289"/>
      <c r="IG144" s="289"/>
      <c r="IH144" s="289"/>
      <c r="II144" s="289"/>
      <c r="IJ144" s="289"/>
      <c r="IK144" s="289"/>
      <c r="IL144" s="289"/>
      <c r="IM144" s="289"/>
      <c r="IN144" s="289"/>
      <c r="IO144" s="289"/>
      <c r="IP144" s="289"/>
      <c r="IQ144" s="289"/>
      <c r="IR144" s="289"/>
      <c r="IS144" s="289"/>
      <c r="IT144" s="289"/>
      <c r="IU144" s="289"/>
      <c r="IV144" s="289"/>
    </row>
    <row r="145" spans="1:256" ht="139.9" customHeight="1">
      <c r="A145" s="43"/>
      <c r="B145" s="35"/>
      <c r="C145" s="36" t="s">
        <v>34</v>
      </c>
      <c r="D145" s="37">
        <f>SUM(D142+1)</f>
        <v>120</v>
      </c>
      <c r="E145" s="160" t="s">
        <v>194</v>
      </c>
      <c r="F145" s="39"/>
      <c r="G145" s="39" t="s">
        <v>168</v>
      </c>
      <c r="H145" s="39"/>
      <c r="I145" s="65"/>
      <c r="J145" s="160" t="s">
        <v>195</v>
      </c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</row>
    <row r="146" spans="1:256" ht="58.15" customHeight="1">
      <c r="A146" s="43"/>
      <c r="B146" s="35"/>
      <c r="C146" s="36" t="s">
        <v>34</v>
      </c>
      <c r="D146" s="37">
        <f t="shared" si="6"/>
        <v>121</v>
      </c>
      <c r="E146" s="161" t="s">
        <v>196</v>
      </c>
      <c r="F146" s="39"/>
      <c r="G146" s="39" t="s">
        <v>168</v>
      </c>
      <c r="H146" s="39"/>
      <c r="I146" s="65"/>
      <c r="J146" s="45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</row>
    <row r="147" spans="1:256" ht="46.9" customHeight="1">
      <c r="A147" s="43"/>
      <c r="B147" s="35"/>
      <c r="C147" s="36" t="s">
        <v>34</v>
      </c>
      <c r="D147" s="37">
        <f t="shared" si="6"/>
        <v>122</v>
      </c>
      <c r="E147" s="160" t="s">
        <v>197</v>
      </c>
      <c r="F147" s="39"/>
      <c r="G147" s="39" t="s">
        <v>168</v>
      </c>
      <c r="H147" s="39"/>
      <c r="I147" s="65"/>
      <c r="J147" s="45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</row>
    <row r="148" spans="1:256" ht="51.6">
      <c r="A148" s="35"/>
      <c r="C148" s="36" t="s">
        <v>34</v>
      </c>
      <c r="D148" s="37">
        <f t="shared" si="6"/>
        <v>123</v>
      </c>
      <c r="E148" s="161" t="s">
        <v>198</v>
      </c>
      <c r="F148" s="39"/>
      <c r="G148" s="39" t="s">
        <v>168</v>
      </c>
      <c r="H148" s="39"/>
      <c r="I148" s="65"/>
      <c r="J148" s="160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</row>
    <row r="149" spans="1:256" ht="49.7" customHeight="1">
      <c r="A149" s="163"/>
      <c r="B149" s="164"/>
      <c r="C149" s="165" t="s">
        <v>16</v>
      </c>
      <c r="D149" s="129">
        <f t="shared" si="6"/>
        <v>124</v>
      </c>
      <c r="E149" s="138" t="s">
        <v>199</v>
      </c>
      <c r="F149" s="166"/>
      <c r="G149" s="131" t="s">
        <v>168</v>
      </c>
      <c r="H149" s="131"/>
      <c r="I149" s="132"/>
      <c r="J149" s="167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</row>
    <row r="150" spans="1:256" ht="55.5" customHeight="1">
      <c r="A150" s="34"/>
      <c r="B150" s="35"/>
      <c r="C150" s="40" t="s">
        <v>16</v>
      </c>
      <c r="D150" s="37">
        <f t="shared" si="6"/>
        <v>125</v>
      </c>
      <c r="E150" s="116" t="s">
        <v>200</v>
      </c>
      <c r="F150" s="168"/>
      <c r="G150" s="39" t="s">
        <v>168</v>
      </c>
      <c r="H150" s="39"/>
      <c r="I150" s="65"/>
      <c r="J150" s="125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</row>
    <row r="151" spans="1:256" ht="86.45" customHeight="1">
      <c r="A151" s="23"/>
      <c r="B151" s="24"/>
      <c r="C151" s="25" t="s">
        <v>34</v>
      </c>
      <c r="D151" s="26">
        <f t="shared" si="6"/>
        <v>126</v>
      </c>
      <c r="E151" s="169" t="s">
        <v>201</v>
      </c>
      <c r="F151" s="28"/>
      <c r="G151" s="28" t="s">
        <v>168</v>
      </c>
      <c r="H151" s="28"/>
      <c r="I151" s="29"/>
      <c r="J151" s="170" t="s">
        <v>202</v>
      </c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</row>
    <row r="152" spans="1:256" ht="57.6">
      <c r="A152" s="34">
        <v>0.31736111111111109</v>
      </c>
      <c r="B152" s="35"/>
      <c r="C152" s="36" t="s">
        <v>34</v>
      </c>
      <c r="D152" s="37">
        <f t="shared" si="6"/>
        <v>127</v>
      </c>
      <c r="E152" s="41" t="s">
        <v>203</v>
      </c>
      <c r="F152" s="39"/>
      <c r="G152" s="39" t="s">
        <v>168</v>
      </c>
      <c r="H152" s="39"/>
      <c r="I152" s="65" t="s">
        <v>5</v>
      </c>
      <c r="J152" s="125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</row>
    <row r="153" spans="1:256" ht="73.5" customHeight="1">
      <c r="A153" s="126"/>
      <c r="B153" s="127"/>
      <c r="C153" s="128" t="s">
        <v>34</v>
      </c>
      <c r="D153" s="129">
        <f t="shared" si="6"/>
        <v>128</v>
      </c>
      <c r="E153" s="171" t="s">
        <v>152</v>
      </c>
      <c r="F153" s="131"/>
      <c r="G153" s="131" t="s">
        <v>168</v>
      </c>
      <c r="H153" s="131"/>
      <c r="I153" s="132"/>
      <c r="J153" s="138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</row>
    <row r="154" spans="1:256" ht="54" customHeight="1">
      <c r="A154" s="34"/>
      <c r="B154" s="35" t="s">
        <v>18</v>
      </c>
      <c r="C154" s="36" t="s">
        <v>34</v>
      </c>
      <c r="D154" s="37">
        <f t="shared" si="6"/>
        <v>129</v>
      </c>
      <c r="E154" s="135" t="s">
        <v>204</v>
      </c>
      <c r="F154" s="39"/>
      <c r="G154" s="39" t="s">
        <v>168</v>
      </c>
      <c r="H154" s="39"/>
      <c r="I154" s="39"/>
      <c r="J154" s="40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</row>
    <row r="155" spans="1:256" ht="54" customHeight="1">
      <c r="A155" s="34"/>
      <c r="B155" s="35" t="s">
        <v>18</v>
      </c>
      <c r="C155" s="36" t="s">
        <v>34</v>
      </c>
      <c r="D155" s="37">
        <f t="shared" si="6"/>
        <v>130</v>
      </c>
      <c r="E155" s="135" t="s">
        <v>205</v>
      </c>
      <c r="F155" s="39"/>
      <c r="G155" s="39" t="s">
        <v>168</v>
      </c>
      <c r="H155" s="39"/>
      <c r="I155" s="39"/>
      <c r="J155" s="40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</row>
    <row r="156" spans="1:256" ht="54" customHeight="1">
      <c r="A156" s="34"/>
      <c r="B156" s="44"/>
      <c r="C156" s="36" t="s">
        <v>34</v>
      </c>
      <c r="D156" s="37">
        <f t="shared" si="6"/>
        <v>131</v>
      </c>
      <c r="E156" s="135" t="s">
        <v>206</v>
      </c>
      <c r="F156" s="39"/>
      <c r="G156" s="39" t="s">
        <v>168</v>
      </c>
      <c r="H156" s="39"/>
      <c r="I156" s="39"/>
      <c r="J156" s="40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</row>
    <row r="157" spans="1:256" ht="55.5" customHeight="1">
      <c r="A157" s="34"/>
      <c r="B157" s="35" t="s">
        <v>18</v>
      </c>
      <c r="C157" s="36" t="s">
        <v>34</v>
      </c>
      <c r="D157" s="37">
        <f t="shared" si="6"/>
        <v>132</v>
      </c>
      <c r="E157" s="38" t="s">
        <v>207</v>
      </c>
      <c r="F157" s="168"/>
      <c r="G157" s="39" t="s">
        <v>168</v>
      </c>
      <c r="H157" s="39"/>
      <c r="I157" s="65"/>
      <c r="J157" s="125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</row>
    <row r="158" spans="1:256" ht="54" customHeight="1">
      <c r="A158" s="34"/>
      <c r="B158" s="35"/>
      <c r="C158" s="36" t="s">
        <v>34</v>
      </c>
      <c r="D158" s="37">
        <f t="shared" si="6"/>
        <v>133</v>
      </c>
      <c r="E158" s="38" t="s">
        <v>208</v>
      </c>
      <c r="F158" s="168"/>
      <c r="G158" s="65" t="s">
        <v>168</v>
      </c>
      <c r="H158" s="39"/>
      <c r="I158" s="39"/>
      <c r="J158" s="40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</row>
    <row r="159" spans="1:256" ht="54" customHeight="1">
      <c r="A159" s="34"/>
      <c r="B159" s="35" t="s">
        <v>18</v>
      </c>
      <c r="C159" s="36" t="s">
        <v>34</v>
      </c>
      <c r="D159" s="37">
        <f>SUM(D157+1)</f>
        <v>133</v>
      </c>
      <c r="E159" s="38" t="s">
        <v>209</v>
      </c>
      <c r="F159" s="65"/>
      <c r="G159" s="39" t="s">
        <v>168</v>
      </c>
      <c r="H159" s="39"/>
      <c r="I159" s="39"/>
      <c r="J159" s="40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</row>
    <row r="160" spans="1:256" ht="54" customHeight="1">
      <c r="A160" s="34"/>
      <c r="B160" s="35" t="s">
        <v>18</v>
      </c>
      <c r="C160" s="36" t="s">
        <v>34</v>
      </c>
      <c r="D160" s="37">
        <f t="shared" si="6"/>
        <v>134</v>
      </c>
      <c r="E160" s="41" t="s">
        <v>210</v>
      </c>
      <c r="F160" s="65"/>
      <c r="G160" s="39" t="s">
        <v>168</v>
      </c>
      <c r="H160" s="39"/>
      <c r="I160" s="65"/>
      <c r="J160" s="172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</row>
    <row r="161" spans="1:256" ht="102" customHeight="1">
      <c r="A161" s="173"/>
      <c r="B161" s="174" t="s">
        <v>18</v>
      </c>
      <c r="C161" s="175" t="s">
        <v>211</v>
      </c>
      <c r="D161" s="176">
        <f t="shared" si="6"/>
        <v>135</v>
      </c>
      <c r="E161" s="177"/>
      <c r="F161" s="178"/>
      <c r="G161" s="179" t="s">
        <v>168</v>
      </c>
      <c r="H161" s="180"/>
      <c r="I161" s="179"/>
      <c r="J161" s="181" t="s">
        <v>212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</row>
    <row r="162" spans="1:256" s="109" customFormat="1" ht="40.700000000000003" customHeight="1">
      <c r="A162" s="182"/>
      <c r="B162" s="24"/>
      <c r="C162" s="183" t="s">
        <v>16</v>
      </c>
      <c r="D162" s="184">
        <f t="shared" si="6"/>
        <v>136</v>
      </c>
      <c r="E162" s="185" t="s">
        <v>213</v>
      </c>
      <c r="F162" s="29"/>
      <c r="G162" s="28" t="s">
        <v>168</v>
      </c>
      <c r="H162" s="28"/>
      <c r="I162" s="28"/>
      <c r="J162" s="186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2"/>
      <c r="GU162" s="32"/>
      <c r="GV162" s="32"/>
      <c r="GW162" s="32"/>
      <c r="GX162" s="32"/>
      <c r="GY162" s="32"/>
      <c r="GZ162" s="32"/>
      <c r="HA162" s="32"/>
      <c r="HB162" s="32"/>
      <c r="HC162" s="32"/>
      <c r="HD162" s="32"/>
      <c r="HE162" s="32"/>
      <c r="HF162" s="32"/>
      <c r="HG162" s="32"/>
      <c r="HH162" s="32"/>
      <c r="HI162" s="32"/>
      <c r="HJ162" s="32"/>
      <c r="HK162" s="32"/>
      <c r="HL162" s="32"/>
      <c r="HM162" s="32"/>
      <c r="HN162" s="32"/>
      <c r="HO162" s="32"/>
      <c r="HP162" s="32"/>
      <c r="HQ162" s="32"/>
      <c r="HR162" s="32"/>
      <c r="HS162" s="32"/>
      <c r="HT162" s="32"/>
      <c r="HU162" s="32"/>
      <c r="HV162" s="32"/>
      <c r="HW162" s="32"/>
      <c r="HX162" s="32"/>
      <c r="HY162" s="32"/>
      <c r="HZ162" s="32"/>
      <c r="IA162" s="32"/>
      <c r="IB162" s="32"/>
      <c r="IC162" s="32"/>
      <c r="ID162" s="32"/>
      <c r="IE162" s="32"/>
      <c r="IF162" s="32"/>
      <c r="IG162" s="32"/>
      <c r="IH162" s="32"/>
      <c r="II162" s="32"/>
      <c r="IJ162" s="32"/>
      <c r="IK162" s="32"/>
      <c r="IL162" s="32"/>
      <c r="IM162" s="32"/>
      <c r="IN162" s="32"/>
      <c r="IO162" s="32"/>
      <c r="IP162" s="32"/>
      <c r="IQ162" s="32"/>
      <c r="IR162" s="32"/>
      <c r="IS162" s="32"/>
      <c r="IT162" s="32"/>
      <c r="IU162" s="32"/>
      <c r="IV162" s="32"/>
    </row>
    <row r="163" spans="1:256" s="109" customFormat="1" ht="40.700000000000003" customHeight="1">
      <c r="A163" s="187"/>
      <c r="B163" s="188"/>
      <c r="C163" s="188" t="s">
        <v>16</v>
      </c>
      <c r="D163" s="37">
        <f t="shared" si="6"/>
        <v>137</v>
      </c>
      <c r="E163" s="189" t="s">
        <v>214</v>
      </c>
      <c r="G163" s="39" t="s">
        <v>168</v>
      </c>
      <c r="H163" s="39"/>
    </row>
    <row r="164" spans="1:256" s="109" customFormat="1" ht="40.700000000000003" customHeight="1">
      <c r="A164" s="190"/>
      <c r="B164" s="183"/>
      <c r="C164" s="183" t="s">
        <v>16</v>
      </c>
      <c r="D164" s="26">
        <f t="shared" si="6"/>
        <v>138</v>
      </c>
      <c r="E164" s="191" t="s">
        <v>215</v>
      </c>
      <c r="F164" s="192"/>
      <c r="G164" s="28" t="s">
        <v>168</v>
      </c>
      <c r="H164" s="28"/>
      <c r="I164" s="192"/>
      <c r="J164" s="192"/>
    </row>
    <row r="165" spans="1:256" s="109" customFormat="1" ht="88.9" customHeight="1">
      <c r="A165" s="187"/>
      <c r="B165" s="188"/>
      <c r="C165" s="188" t="s">
        <v>16</v>
      </c>
      <c r="D165" s="37">
        <f t="shared" si="6"/>
        <v>139</v>
      </c>
      <c r="E165" s="189" t="s">
        <v>216</v>
      </c>
      <c r="G165" s="39" t="s">
        <v>168</v>
      </c>
      <c r="H165" s="39"/>
      <c r="J165" s="189" t="s">
        <v>217</v>
      </c>
    </row>
    <row r="166" spans="1:256" s="109" customFormat="1" ht="50.1" customHeight="1">
      <c r="A166" s="193"/>
      <c r="B166" s="194"/>
      <c r="C166" s="195" t="s">
        <v>16</v>
      </c>
      <c r="D166" s="75">
        <f t="shared" si="6"/>
        <v>140</v>
      </c>
      <c r="E166" s="196" t="s">
        <v>218</v>
      </c>
      <c r="F166" s="197"/>
      <c r="G166" s="195" t="s">
        <v>168</v>
      </c>
      <c r="H166" s="76"/>
      <c r="I166" s="197"/>
      <c r="J166" s="197"/>
    </row>
    <row r="167" spans="1:256" s="109" customFormat="1" ht="50.1" customHeight="1">
      <c r="A167" s="187"/>
      <c r="B167" s="198" t="s">
        <v>136</v>
      </c>
      <c r="C167" s="188" t="s">
        <v>16</v>
      </c>
      <c r="D167" s="37">
        <f t="shared" si="6"/>
        <v>141</v>
      </c>
      <c r="E167" s="189" t="s">
        <v>219</v>
      </c>
      <c r="G167" s="188" t="s">
        <v>168</v>
      </c>
      <c r="H167" s="39"/>
    </row>
    <row r="168" spans="1:256" s="109" customFormat="1" ht="50.1" customHeight="1">
      <c r="A168" s="187"/>
      <c r="B168" s="198"/>
      <c r="C168" s="199" t="s">
        <v>16</v>
      </c>
      <c r="D168" s="37">
        <f t="shared" si="6"/>
        <v>142</v>
      </c>
      <c r="E168" s="189" t="s">
        <v>220</v>
      </c>
      <c r="G168" s="188" t="s">
        <v>168</v>
      </c>
      <c r="H168" s="39"/>
    </row>
    <row r="169" spans="1:256" s="200" customFormat="1" ht="49.9" customHeight="1">
      <c r="A169" s="202"/>
      <c r="B169" s="203"/>
      <c r="C169" s="25" t="s">
        <v>16</v>
      </c>
      <c r="D169" s="26">
        <f>SUM(D168+1)</f>
        <v>143</v>
      </c>
      <c r="E169" s="212" t="s">
        <v>221</v>
      </c>
      <c r="F169" s="204"/>
      <c r="G169" s="213" t="s">
        <v>51</v>
      </c>
      <c r="H169" s="214"/>
      <c r="I169" s="204"/>
      <c r="J169" s="204"/>
    </row>
    <row r="170" spans="1:256" s="109" customFormat="1">
      <c r="A170" s="187"/>
      <c r="B170" s="188"/>
      <c r="C170" s="188" t="s">
        <v>16</v>
      </c>
      <c r="D170" s="37">
        <f t="shared" ref="D170:D183" si="7">SUM(D169+1)</f>
        <v>144</v>
      </c>
      <c r="E170" s="189" t="s">
        <v>222</v>
      </c>
      <c r="G170" s="215" t="s">
        <v>51</v>
      </c>
      <c r="H170" s="215"/>
    </row>
    <row r="171" spans="1:256" s="109" customFormat="1">
      <c r="A171" s="187"/>
      <c r="B171" s="188"/>
      <c r="C171" s="188" t="s">
        <v>16</v>
      </c>
      <c r="D171" s="37">
        <f t="shared" si="7"/>
        <v>145</v>
      </c>
      <c r="E171" s="189" t="s">
        <v>223</v>
      </c>
      <c r="G171" s="215" t="s">
        <v>51</v>
      </c>
      <c r="H171" s="215"/>
    </row>
    <row r="172" spans="1:256" s="109" customFormat="1">
      <c r="A172" s="187">
        <v>0.32708333333333334</v>
      </c>
      <c r="B172" s="188"/>
      <c r="C172" s="188" t="s">
        <v>16</v>
      </c>
      <c r="D172" s="37">
        <f t="shared" si="7"/>
        <v>146</v>
      </c>
      <c r="E172" s="189" t="s">
        <v>224</v>
      </c>
      <c r="G172" s="215" t="s">
        <v>51</v>
      </c>
      <c r="H172" s="215"/>
    </row>
    <row r="173" spans="1:256" s="109" customFormat="1" ht="363.6" customHeight="1">
      <c r="A173" s="187"/>
      <c r="B173" s="188"/>
      <c r="C173" s="188" t="s">
        <v>16</v>
      </c>
      <c r="D173" s="37">
        <f t="shared" si="7"/>
        <v>147</v>
      </c>
      <c r="E173" s="189"/>
      <c r="G173" s="98" t="s">
        <v>51</v>
      </c>
      <c r="H173" s="215"/>
    </row>
    <row r="174" spans="1:256" s="7" customFormat="1" ht="45" customHeight="1">
      <c r="A174" s="11"/>
      <c r="B174" s="12"/>
      <c r="C174" s="259" t="s">
        <v>16</v>
      </c>
      <c r="D174" s="260"/>
      <c r="E174" s="13" t="s">
        <v>225</v>
      </c>
      <c r="F174" s="14"/>
      <c r="G174" s="261" t="s">
        <v>168</v>
      </c>
      <c r="H174" s="14"/>
      <c r="I174" s="14"/>
      <c r="J174" s="14"/>
    </row>
    <row r="175" spans="1:256" s="109" customFormat="1" ht="53.45" customHeight="1">
      <c r="A175" s="187"/>
      <c r="B175" s="188"/>
      <c r="C175" s="188" t="s">
        <v>16</v>
      </c>
      <c r="D175" s="37"/>
      <c r="E175" s="189" t="s">
        <v>226</v>
      </c>
      <c r="G175" s="98" t="s">
        <v>51</v>
      </c>
      <c r="H175" s="215"/>
    </row>
    <row r="176" spans="1:256" s="7" customFormat="1" ht="45" customHeight="1">
      <c r="A176" s="11"/>
      <c r="B176" s="12"/>
      <c r="C176" s="259" t="s">
        <v>16</v>
      </c>
      <c r="D176" s="260">
        <f>SUM(D173+1)</f>
        <v>148</v>
      </c>
      <c r="E176" s="13" t="s">
        <v>227</v>
      </c>
      <c r="F176" s="14"/>
      <c r="G176" s="261" t="s">
        <v>168</v>
      </c>
      <c r="H176" s="14"/>
      <c r="I176" s="14"/>
      <c r="J176" s="14"/>
    </row>
    <row r="177" spans="1:10" s="200" customFormat="1" ht="36" customHeight="1">
      <c r="A177" s="205"/>
      <c r="B177" s="9"/>
      <c r="D177" s="37">
        <f t="shared" si="7"/>
        <v>149</v>
      </c>
      <c r="E177" s="201" t="s">
        <v>228</v>
      </c>
      <c r="G177" s="207" t="s">
        <v>168</v>
      </c>
      <c r="H177" s="208"/>
    </row>
    <row r="178" spans="1:10" s="200" customFormat="1" ht="36" customHeight="1">
      <c r="A178" s="205"/>
      <c r="B178" s="9"/>
      <c r="C178" s="8"/>
      <c r="D178" s="37">
        <f t="shared" si="7"/>
        <v>150</v>
      </c>
      <c r="E178" s="201" t="s">
        <v>229</v>
      </c>
      <c r="G178" s="207" t="s">
        <v>168</v>
      </c>
      <c r="H178" s="210"/>
    </row>
    <row r="179" spans="1:10" s="200" customFormat="1" ht="48">
      <c r="A179" s="205"/>
      <c r="B179" s="9"/>
      <c r="C179" s="8"/>
      <c r="D179" s="37">
        <f t="shared" si="7"/>
        <v>151</v>
      </c>
      <c r="E179" s="201" t="s">
        <v>230</v>
      </c>
      <c r="G179" s="207" t="s">
        <v>168</v>
      </c>
      <c r="H179" s="210"/>
    </row>
    <row r="180" spans="1:10" s="200" customFormat="1" ht="53.45" customHeight="1">
      <c r="A180" s="205"/>
      <c r="B180" s="9"/>
      <c r="C180" s="8"/>
      <c r="D180" s="209" t="s">
        <v>136</v>
      </c>
      <c r="E180" s="201" t="s">
        <v>231</v>
      </c>
      <c r="G180" s="207" t="s">
        <v>168</v>
      </c>
      <c r="H180" s="210"/>
    </row>
    <row r="181" spans="1:10" s="200" customFormat="1" ht="36" customHeight="1">
      <c r="A181" s="205"/>
      <c r="B181" s="9"/>
      <c r="D181" s="37">
        <f>SUM(D179+1)</f>
        <v>152</v>
      </c>
      <c r="E181" s="201" t="s">
        <v>232</v>
      </c>
      <c r="G181" s="207" t="s">
        <v>168</v>
      </c>
    </row>
    <row r="182" spans="1:10" s="200" customFormat="1" ht="53.45" customHeight="1">
      <c r="A182" s="205"/>
      <c r="B182" s="206"/>
      <c r="C182" s="10"/>
      <c r="D182" s="37">
        <f t="shared" si="7"/>
        <v>153</v>
      </c>
      <c r="E182" s="201" t="s">
        <v>233</v>
      </c>
      <c r="F182" s="207" t="s">
        <v>165</v>
      </c>
      <c r="G182" s="120"/>
      <c r="H182" s="207"/>
    </row>
    <row r="183" spans="1:10" s="200" customFormat="1" ht="36" customHeight="1">
      <c r="A183" s="205"/>
      <c r="B183" s="206"/>
      <c r="C183" s="10"/>
      <c r="D183" s="37">
        <f t="shared" si="7"/>
        <v>154</v>
      </c>
      <c r="E183" s="211" t="s">
        <v>234</v>
      </c>
      <c r="F183" s="207" t="s">
        <v>165</v>
      </c>
      <c r="G183" s="120"/>
      <c r="H183" s="207"/>
    </row>
    <row r="184" spans="1:10" s="245" customFormat="1" ht="36" customHeight="1">
      <c r="A184" s="272"/>
      <c r="B184" s="273"/>
      <c r="C184" s="274"/>
      <c r="D184" s="275"/>
      <c r="E184" s="276" t="s">
        <v>235</v>
      </c>
      <c r="F184" s="277"/>
      <c r="G184" s="278"/>
      <c r="H184" s="279"/>
      <c r="I184" s="277"/>
      <c r="J184" s="277"/>
    </row>
    <row r="185" spans="1:10" s="245" customFormat="1" ht="36" customHeight="1">
      <c r="A185" s="246"/>
      <c r="B185" s="247"/>
      <c r="C185" s="248"/>
      <c r="D185" s="249"/>
      <c r="E185" s="253" t="s">
        <v>236</v>
      </c>
      <c r="F185" s="250"/>
      <c r="G185" s="251"/>
      <c r="H185" s="250"/>
      <c r="I185" s="252"/>
      <c r="J185" s="252"/>
    </row>
    <row r="186" spans="1:10" s="270" customFormat="1" ht="36" customHeight="1">
      <c r="A186" s="262"/>
      <c r="B186" s="263"/>
      <c r="C186" s="264"/>
      <c r="D186" s="265"/>
      <c r="E186" s="266" t="s">
        <v>237</v>
      </c>
      <c r="F186" s="267"/>
      <c r="G186" s="268"/>
      <c r="H186" s="269"/>
      <c r="I186" s="267"/>
      <c r="J186" s="267"/>
    </row>
    <row r="187" spans="1:10" s="270" customFormat="1" ht="36.6">
      <c r="A187" s="262"/>
      <c r="B187" s="263"/>
      <c r="C187" s="267"/>
      <c r="D187" s="263"/>
      <c r="E187" s="271" t="s">
        <v>238</v>
      </c>
      <c r="F187" s="267"/>
      <c r="G187" s="268"/>
      <c r="H187" s="267"/>
      <c r="I187" s="267"/>
      <c r="J187" s="267"/>
    </row>
    <row r="188" spans="1:10" s="270" customFormat="1" ht="36.6">
      <c r="A188" s="262"/>
      <c r="B188" s="263"/>
      <c r="C188" s="267"/>
      <c r="D188" s="263"/>
      <c r="E188" s="271" t="s">
        <v>239</v>
      </c>
      <c r="F188" s="267"/>
      <c r="G188" s="268"/>
      <c r="H188" s="267"/>
      <c r="I188" s="267"/>
      <c r="J188" s="267"/>
    </row>
    <row r="189" spans="1:10" s="270" customFormat="1" ht="36.6">
      <c r="A189" s="262"/>
      <c r="B189" s="263"/>
      <c r="C189" s="267"/>
      <c r="D189" s="263"/>
      <c r="E189" s="271"/>
      <c r="F189" s="267"/>
      <c r="G189" s="267"/>
      <c r="H189" s="267"/>
      <c r="I189" s="267"/>
      <c r="J189" s="267"/>
    </row>
    <row r="190" spans="1:10" s="270" customFormat="1" ht="36.6">
      <c r="A190" s="262"/>
      <c r="B190" s="263"/>
      <c r="C190" s="267"/>
      <c r="D190" s="263"/>
      <c r="E190" s="271" t="s">
        <v>240</v>
      </c>
      <c r="F190" s="267"/>
      <c r="G190" s="267"/>
      <c r="H190" s="267"/>
      <c r="I190" s="267"/>
      <c r="J190" s="267"/>
    </row>
    <row r="191" spans="1:10" s="270" customFormat="1" ht="36.6">
      <c r="A191" s="262"/>
      <c r="B191" s="263"/>
      <c r="C191" s="267"/>
      <c r="D191" s="263"/>
      <c r="E191" s="271" t="s">
        <v>241</v>
      </c>
      <c r="F191" s="267"/>
      <c r="G191" s="267"/>
      <c r="H191" s="267"/>
      <c r="I191" s="267"/>
      <c r="J191" s="267"/>
    </row>
    <row r="192" spans="1:10" s="270" customFormat="1" ht="36.6">
      <c r="A192" s="262"/>
      <c r="B192" s="263"/>
      <c r="C192" s="267"/>
      <c r="D192" s="263"/>
      <c r="E192" s="271"/>
      <c r="F192" s="267"/>
      <c r="G192" s="267"/>
      <c r="H192" s="267"/>
      <c r="I192" s="267"/>
      <c r="J192" s="267"/>
    </row>
    <row r="193" spans="1:10" s="270" customFormat="1" ht="36.6">
      <c r="A193" s="262"/>
      <c r="B193" s="263"/>
      <c r="C193" s="267"/>
      <c r="D193" s="263"/>
      <c r="E193" s="271" t="s">
        <v>242</v>
      </c>
      <c r="F193" s="267"/>
      <c r="G193" s="268"/>
      <c r="H193" s="267"/>
      <c r="I193" s="267"/>
      <c r="J193" s="267"/>
    </row>
    <row r="194" spans="1:10" s="270" customFormat="1" ht="36.6">
      <c r="A194" s="262"/>
      <c r="B194" s="263"/>
      <c r="C194" s="267"/>
      <c r="D194" s="263"/>
      <c r="E194" s="271" t="s">
        <v>243</v>
      </c>
      <c r="F194" s="267"/>
      <c r="G194" s="268"/>
      <c r="H194" s="267"/>
      <c r="I194" s="267"/>
      <c r="J194" s="267"/>
    </row>
    <row r="195" spans="1:10">
      <c r="A195" s="187"/>
      <c r="B195" s="188"/>
      <c r="C195" s="109"/>
      <c r="D195" s="188"/>
      <c r="E195" s="189"/>
      <c r="F195" s="109"/>
      <c r="G195" s="188"/>
      <c r="H195" s="109"/>
      <c r="I195" s="109"/>
      <c r="J195" s="109"/>
    </row>
    <row r="196" spans="1:10">
      <c r="A196" s="187"/>
      <c r="B196" s="188"/>
      <c r="C196" s="109"/>
      <c r="D196" s="188"/>
      <c r="E196" s="189"/>
      <c r="F196" s="109"/>
      <c r="G196" s="188"/>
      <c r="H196" s="109"/>
      <c r="I196" s="109"/>
      <c r="J196" s="109"/>
    </row>
    <row r="197" spans="1:10">
      <c r="A197" s="187"/>
      <c r="B197" s="188"/>
      <c r="C197" s="109"/>
      <c r="D197" s="188"/>
      <c r="E197" s="189"/>
      <c r="F197" s="109"/>
      <c r="G197" s="188"/>
      <c r="H197" s="109"/>
      <c r="I197" s="109"/>
      <c r="J197" s="109"/>
    </row>
    <row r="198" spans="1:10">
      <c r="A198" s="187"/>
      <c r="B198" s="188"/>
      <c r="C198" s="109"/>
      <c r="D198" s="188"/>
      <c r="E198" s="189"/>
      <c r="F198" s="109"/>
      <c r="G198" s="188"/>
      <c r="H198" s="109"/>
      <c r="I198" s="109"/>
      <c r="J198" s="109"/>
    </row>
    <row r="199" spans="1:10">
      <c r="A199" s="187"/>
      <c r="B199" s="188"/>
      <c r="C199" s="109"/>
      <c r="D199" s="188"/>
      <c r="E199" s="189"/>
      <c r="F199" s="109"/>
      <c r="G199" s="188"/>
      <c r="H199" s="109"/>
      <c r="I199" s="109"/>
      <c r="J199" s="109"/>
    </row>
    <row r="201" spans="1:10">
      <c r="B201" s="162" t="s">
        <v>244</v>
      </c>
    </row>
    <row r="202" spans="1:10">
      <c r="B202" s="162" t="s">
        <v>245</v>
      </c>
    </row>
    <row r="203" spans="1:10">
      <c r="B203" s="162" t="s">
        <v>246</v>
      </c>
    </row>
    <row r="204" spans="1:10">
      <c r="B204" s="162" t="s">
        <v>247</v>
      </c>
    </row>
    <row r="205" spans="1:10">
      <c r="B205" s="162" t="s">
        <v>248</v>
      </c>
    </row>
    <row r="206" spans="1:10">
      <c r="B206" s="162" t="s">
        <v>249</v>
      </c>
    </row>
    <row r="208" spans="1:10">
      <c r="B208" s="254" t="s">
        <v>250</v>
      </c>
    </row>
    <row r="210" spans="1:5">
      <c r="A210" s="255"/>
      <c r="B210" s="256" t="s">
        <v>251</v>
      </c>
      <c r="C210" s="257"/>
      <c r="D210" s="256">
        <v>245106</v>
      </c>
      <c r="E210" s="258"/>
    </row>
    <row r="212" spans="1:5">
      <c r="B212" s="256" t="s">
        <v>252</v>
      </c>
      <c r="C212" s="257"/>
      <c r="D212" s="256"/>
      <c r="E212" s="258"/>
    </row>
    <row r="213" spans="1:5">
      <c r="B213" s="256"/>
      <c r="C213" s="257" t="s">
        <v>253</v>
      </c>
      <c r="D213" s="256"/>
      <c r="E213" s="258"/>
    </row>
    <row r="214" spans="1:5">
      <c r="B214" s="256"/>
      <c r="C214" s="257" t="s">
        <v>254</v>
      </c>
      <c r="D214" s="256"/>
      <c r="E214" s="258"/>
    </row>
    <row r="215" spans="1:5">
      <c r="B215" s="256"/>
      <c r="C215" s="257" t="s">
        <v>255</v>
      </c>
      <c r="D215" s="256"/>
      <c r="E215" s="258"/>
    </row>
    <row r="216" spans="1:5">
      <c r="B216" s="256"/>
      <c r="C216" s="257" t="s">
        <v>256</v>
      </c>
      <c r="D216" s="256"/>
      <c r="E216" s="258"/>
    </row>
    <row r="220" spans="1:5">
      <c r="D220"/>
    </row>
  </sheetData>
  <hyperlinks>
    <hyperlink ref="E9" r:id="rId1" xr:uid="{0F304D95-EFEC-4F82-8B4A-3AF3DDCB6087}"/>
    <hyperlink ref="E69" r:id="rId2" display="https://licensecodes.oracle.com/cgi-bin/keygen.pl" xr:uid="{1E072A96-9884-4166-A481-3C61D4AB1184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>
      <selection activeCell="B42" sqref="B42"/>
    </sheetView>
  </sheetViews>
  <sheetFormatPr defaultRowHeight="14.45"/>
  <cols>
    <col min="2" max="2" width="12.42578125" bestFit="1" customWidth="1"/>
    <col min="3" max="3" width="11.5703125" bestFit="1" customWidth="1"/>
  </cols>
  <sheetData>
    <row r="1" spans="1:4">
      <c r="B1" s="6"/>
      <c r="C1" s="6"/>
      <c r="D1" s="6" t="s">
        <v>257</v>
      </c>
    </row>
    <row r="2" spans="1:4">
      <c r="B2" s="6" t="s">
        <v>258</v>
      </c>
      <c r="C2" s="6" t="s">
        <v>259</v>
      </c>
      <c r="D2" s="6" t="s">
        <v>260</v>
      </c>
    </row>
    <row r="3" spans="1:4">
      <c r="B3" t="s">
        <v>261</v>
      </c>
      <c r="C3" t="s">
        <v>262</v>
      </c>
      <c r="D3">
        <v>17</v>
      </c>
    </row>
    <row r="4" spans="1:4">
      <c r="B4" t="s">
        <v>263</v>
      </c>
      <c r="C4" t="s">
        <v>264</v>
      </c>
      <c r="D4">
        <v>0</v>
      </c>
    </row>
    <row r="5" spans="1:4">
      <c r="B5" t="s">
        <v>265</v>
      </c>
      <c r="C5" t="s">
        <v>266</v>
      </c>
      <c r="D5">
        <v>8</v>
      </c>
    </row>
    <row r="6" spans="1:4">
      <c r="B6" t="s">
        <v>267</v>
      </c>
      <c r="C6" t="s">
        <v>264</v>
      </c>
      <c r="D6">
        <v>63</v>
      </c>
    </row>
    <row r="7" spans="1:4">
      <c r="B7" t="s">
        <v>268</v>
      </c>
      <c r="C7" t="s">
        <v>269</v>
      </c>
      <c r="D7">
        <v>3</v>
      </c>
    </row>
    <row r="8" spans="1:4">
      <c r="B8" t="s">
        <v>270</v>
      </c>
      <c r="C8" t="s">
        <v>264</v>
      </c>
      <c r="D8">
        <v>0</v>
      </c>
    </row>
    <row r="9" spans="1:4">
      <c r="B9" s="15" t="s">
        <v>271</v>
      </c>
      <c r="C9" s="15" t="s">
        <v>264</v>
      </c>
      <c r="D9">
        <v>0</v>
      </c>
    </row>
    <row r="10" spans="1:4">
      <c r="B10" s="15" t="s">
        <v>221</v>
      </c>
      <c r="C10" s="15" t="s">
        <v>264</v>
      </c>
      <c r="D10">
        <v>9</v>
      </c>
    </row>
    <row r="11" spans="1:4">
      <c r="B11" t="s">
        <v>272</v>
      </c>
      <c r="C11" t="s">
        <v>273</v>
      </c>
      <c r="D11">
        <v>119</v>
      </c>
    </row>
    <row r="12" spans="1:4">
      <c r="B12" t="s">
        <v>274</v>
      </c>
      <c r="C12" t="s">
        <v>262</v>
      </c>
      <c r="D12">
        <v>0</v>
      </c>
    </row>
    <row r="13" spans="1:4">
      <c r="A13" s="15"/>
      <c r="B13" s="15" t="s">
        <v>275</v>
      </c>
      <c r="C13" s="15" t="s">
        <v>262</v>
      </c>
      <c r="D13">
        <v>17</v>
      </c>
    </row>
    <row r="14" spans="1:4">
      <c r="B14" t="s">
        <v>276</v>
      </c>
      <c r="C14" t="s">
        <v>264</v>
      </c>
      <c r="D14">
        <v>1</v>
      </c>
    </row>
    <row r="15" spans="1:4">
      <c r="B15" t="s">
        <v>277</v>
      </c>
      <c r="C15" t="s">
        <v>278</v>
      </c>
      <c r="D15">
        <v>10</v>
      </c>
    </row>
    <row r="16" spans="1:4">
      <c r="B16" t="s">
        <v>279</v>
      </c>
      <c r="C16" t="s">
        <v>278</v>
      </c>
      <c r="D16">
        <v>0</v>
      </c>
    </row>
    <row r="17" spans="2:4">
      <c r="B17" t="s">
        <v>280</v>
      </c>
      <c r="C17" t="s">
        <v>278</v>
      </c>
      <c r="D17">
        <v>1</v>
      </c>
    </row>
    <row r="18" spans="2:4">
      <c r="B18" t="s">
        <v>281</v>
      </c>
      <c r="C18" t="s">
        <v>281</v>
      </c>
      <c r="D18">
        <v>25</v>
      </c>
    </row>
    <row r="19" spans="2:4">
      <c r="B19" t="s">
        <v>282</v>
      </c>
      <c r="C19" t="s">
        <v>278</v>
      </c>
      <c r="D19">
        <v>26</v>
      </c>
    </row>
    <row r="20" spans="2:4">
      <c r="B20" s="15" t="s">
        <v>283</v>
      </c>
      <c r="C20" s="15" t="s">
        <v>284</v>
      </c>
      <c r="D20" s="15">
        <v>2</v>
      </c>
    </row>
    <row r="21" spans="2:4">
      <c r="B21" s="15" t="s">
        <v>285</v>
      </c>
      <c r="C21" s="15" t="s">
        <v>284</v>
      </c>
      <c r="D21" s="15">
        <v>16</v>
      </c>
    </row>
    <row r="22" spans="2:4">
      <c r="B22" t="s">
        <v>286</v>
      </c>
      <c r="C22" t="s">
        <v>278</v>
      </c>
      <c r="D22">
        <v>0</v>
      </c>
    </row>
    <row r="23" spans="2:4">
      <c r="B23" t="s">
        <v>287</v>
      </c>
      <c r="C23" t="s">
        <v>278</v>
      </c>
      <c r="D23">
        <v>20</v>
      </c>
    </row>
    <row r="24" spans="2:4">
      <c r="B24" t="s">
        <v>288</v>
      </c>
      <c r="C24" t="s">
        <v>278</v>
      </c>
      <c r="D24">
        <v>23</v>
      </c>
    </row>
    <row r="25" spans="2:4">
      <c r="B25" t="s">
        <v>289</v>
      </c>
      <c r="C25" t="s">
        <v>278</v>
      </c>
      <c r="D25">
        <v>274</v>
      </c>
    </row>
    <row r="26" spans="2:4">
      <c r="B26" t="s">
        <v>55</v>
      </c>
      <c r="C26" t="s">
        <v>278</v>
      </c>
      <c r="D26">
        <v>160</v>
      </c>
    </row>
    <row r="27" spans="2:4">
      <c r="B27" t="s">
        <v>290</v>
      </c>
      <c r="C27" t="s">
        <v>278</v>
      </c>
      <c r="D27">
        <v>60</v>
      </c>
    </row>
    <row r="28" spans="2:4">
      <c r="B28" t="s">
        <v>291</v>
      </c>
      <c r="C28" t="s">
        <v>292</v>
      </c>
      <c r="D28">
        <v>3</v>
      </c>
    </row>
    <row r="29" spans="2:4">
      <c r="B29" t="s">
        <v>293</v>
      </c>
      <c r="C29" t="s">
        <v>294</v>
      </c>
      <c r="D29">
        <v>26</v>
      </c>
    </row>
    <row r="30" spans="2:4">
      <c r="B30" t="s">
        <v>295</v>
      </c>
      <c r="C30" t="s">
        <v>296</v>
      </c>
      <c r="D30">
        <v>0</v>
      </c>
    </row>
    <row r="31" spans="2:4">
      <c r="B31" t="s">
        <v>297</v>
      </c>
      <c r="C31" t="s">
        <v>298</v>
      </c>
      <c r="D31">
        <v>1</v>
      </c>
    </row>
    <row r="32" spans="2:4">
      <c r="B32" t="s">
        <v>299</v>
      </c>
      <c r="C32" t="s">
        <v>298</v>
      </c>
      <c r="D32">
        <v>2</v>
      </c>
    </row>
    <row r="33" spans="2:4">
      <c r="B33" t="s">
        <v>300</v>
      </c>
      <c r="C33" t="s">
        <v>264</v>
      </c>
      <c r="D33">
        <v>2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986B-42F5-40C8-89E6-B33EEDF87E0E}">
  <dimension ref="A1:L38"/>
  <sheetViews>
    <sheetView workbookViewId="0">
      <selection activeCell="B31" sqref="B31"/>
    </sheetView>
  </sheetViews>
  <sheetFormatPr defaultRowHeight="14.45"/>
  <cols>
    <col min="1" max="1" width="14.28515625" bestFit="1" customWidth="1"/>
    <col min="4" max="4" width="21.85546875" customWidth="1"/>
    <col min="5" max="5" width="13.140625" bestFit="1" customWidth="1"/>
    <col min="8" max="8" width="11.28515625" bestFit="1" customWidth="1"/>
    <col min="9" max="9" width="10.28515625" bestFit="1" customWidth="1"/>
    <col min="11" max="11" width="10.42578125" bestFit="1" customWidth="1"/>
  </cols>
  <sheetData>
    <row r="1" spans="1:12">
      <c r="H1" t="s">
        <v>301</v>
      </c>
    </row>
    <row r="2" spans="1:12">
      <c r="A2" t="s">
        <v>302</v>
      </c>
      <c r="B2" t="s">
        <v>303</v>
      </c>
      <c r="C2" t="s">
        <v>304</v>
      </c>
      <c r="E2" t="s">
        <v>68</v>
      </c>
      <c r="F2" s="16" t="s">
        <v>305</v>
      </c>
      <c r="G2" s="16"/>
      <c r="H2" t="s">
        <v>306</v>
      </c>
      <c r="K2" t="s">
        <v>307</v>
      </c>
      <c r="L2" t="s">
        <v>308</v>
      </c>
    </row>
    <row r="3" spans="1:12">
      <c r="A3" t="s">
        <v>309</v>
      </c>
      <c r="B3" t="s">
        <v>303</v>
      </c>
      <c r="C3" t="s">
        <v>304</v>
      </c>
      <c r="E3" t="s">
        <v>82</v>
      </c>
      <c r="F3" s="16" t="s">
        <v>310</v>
      </c>
      <c r="G3" s="16" t="s">
        <v>304</v>
      </c>
      <c r="H3" t="s">
        <v>311</v>
      </c>
      <c r="K3" t="s">
        <v>312</v>
      </c>
      <c r="L3" t="s">
        <v>308</v>
      </c>
    </row>
    <row r="4" spans="1:12">
      <c r="A4" t="s">
        <v>313</v>
      </c>
      <c r="B4" t="s">
        <v>303</v>
      </c>
      <c r="C4" t="s">
        <v>304</v>
      </c>
      <c r="D4" s="17" t="s">
        <v>314</v>
      </c>
      <c r="E4" t="s">
        <v>315</v>
      </c>
      <c r="F4" s="18" t="s">
        <v>316</v>
      </c>
      <c r="G4" s="18" t="s">
        <v>317</v>
      </c>
      <c r="H4" t="s">
        <v>306</v>
      </c>
      <c r="K4" t="s">
        <v>318</v>
      </c>
      <c r="L4" t="s">
        <v>308</v>
      </c>
    </row>
    <row r="5" spans="1:12">
      <c r="A5" t="s">
        <v>319</v>
      </c>
      <c r="B5" t="s">
        <v>303</v>
      </c>
      <c r="C5" t="s">
        <v>304</v>
      </c>
      <c r="D5" s="17" t="s">
        <v>314</v>
      </c>
      <c r="E5" t="s">
        <v>101</v>
      </c>
      <c r="F5" s="16" t="s">
        <v>320</v>
      </c>
      <c r="G5" s="16"/>
      <c r="H5" t="s">
        <v>306</v>
      </c>
      <c r="K5" s="19" t="s">
        <v>321</v>
      </c>
      <c r="L5" t="s">
        <v>308</v>
      </c>
    </row>
    <row r="6" spans="1:12">
      <c r="A6" t="s">
        <v>322</v>
      </c>
      <c r="B6" t="s">
        <v>323</v>
      </c>
      <c r="C6" t="s">
        <v>304</v>
      </c>
      <c r="D6" s="17" t="s">
        <v>314</v>
      </c>
      <c r="E6" t="s">
        <v>131</v>
      </c>
      <c r="F6" s="16" t="s">
        <v>324</v>
      </c>
      <c r="G6" s="16" t="s">
        <v>304</v>
      </c>
      <c r="K6" s="19" t="s">
        <v>325</v>
      </c>
      <c r="L6" t="s">
        <v>308</v>
      </c>
    </row>
    <row r="7" spans="1:12">
      <c r="A7" t="s">
        <v>326</v>
      </c>
      <c r="B7" t="s">
        <v>303</v>
      </c>
      <c r="C7" t="s">
        <v>304</v>
      </c>
      <c r="D7" s="17" t="s">
        <v>314</v>
      </c>
    </row>
    <row r="8" spans="1:12">
      <c r="A8" t="s">
        <v>327</v>
      </c>
      <c r="B8" t="s">
        <v>303</v>
      </c>
      <c r="C8" t="s">
        <v>304</v>
      </c>
    </row>
    <row r="9" spans="1:12">
      <c r="A9" t="s">
        <v>328</v>
      </c>
      <c r="B9" t="s">
        <v>303</v>
      </c>
      <c r="C9" t="s">
        <v>329</v>
      </c>
    </row>
    <row r="13" spans="1:12">
      <c r="A13" s="20">
        <v>1</v>
      </c>
    </row>
    <row r="14" spans="1:12">
      <c r="A14" t="s">
        <v>330</v>
      </c>
      <c r="B14" t="s">
        <v>331</v>
      </c>
    </row>
    <row r="15" spans="1:12">
      <c r="B15" t="s">
        <v>332</v>
      </c>
    </row>
    <row r="16" spans="1:12">
      <c r="B16" s="21" t="s">
        <v>333</v>
      </c>
    </row>
    <row r="18" spans="1:2">
      <c r="A18" s="20">
        <v>2</v>
      </c>
    </row>
    <row r="19" spans="1:2">
      <c r="A19" t="s">
        <v>334</v>
      </c>
      <c r="B19" t="s">
        <v>335</v>
      </c>
    </row>
    <row r="20" spans="1:2">
      <c r="B20" t="s">
        <v>336</v>
      </c>
    </row>
    <row r="21" spans="1:2">
      <c r="B21" s="21" t="s">
        <v>337</v>
      </c>
    </row>
    <row r="23" spans="1:2">
      <c r="A23" s="20">
        <v>3</v>
      </c>
    </row>
    <row r="24" spans="1:2">
      <c r="A24" t="s">
        <v>338</v>
      </c>
      <c r="B24" t="s">
        <v>339</v>
      </c>
    </row>
    <row r="25" spans="1:2">
      <c r="B25" t="s">
        <v>340</v>
      </c>
    </row>
    <row r="26" spans="1:2">
      <c r="B26" s="22" t="s">
        <v>341</v>
      </c>
    </row>
    <row r="28" spans="1:2">
      <c r="A28" s="20">
        <v>4</v>
      </c>
    </row>
    <row r="29" spans="1:2">
      <c r="A29" t="s">
        <v>342</v>
      </c>
      <c r="B29" t="s">
        <v>343</v>
      </c>
    </row>
    <row r="30" spans="1:2">
      <c r="B30" t="s">
        <v>344</v>
      </c>
    </row>
    <row r="31" spans="1:2">
      <c r="B31" t="s">
        <v>345</v>
      </c>
    </row>
    <row r="35" spans="1:3">
      <c r="A35" s="20">
        <v>5</v>
      </c>
      <c r="B35" s="15" t="s">
        <v>346</v>
      </c>
      <c r="C35" s="15"/>
    </row>
    <row r="36" spans="1:3">
      <c r="A36" t="s">
        <v>347</v>
      </c>
      <c r="B36" t="s">
        <v>348</v>
      </c>
    </row>
    <row r="37" spans="1:3">
      <c r="B37" t="s">
        <v>151</v>
      </c>
    </row>
    <row r="38" spans="1:3">
      <c r="B38" t="s">
        <v>349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McLane Company,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Engbrock</dc:creator>
  <cp:keywords/>
  <dc:description/>
  <cp:lastModifiedBy>Arunakumar Dalai</cp:lastModifiedBy>
  <cp:revision/>
  <dcterms:created xsi:type="dcterms:W3CDTF">2016-07-15T20:38:30Z</dcterms:created>
  <dcterms:modified xsi:type="dcterms:W3CDTF">2026-04-30T11:40:22Z</dcterms:modified>
  <cp:category/>
  <cp:contentStatus/>
</cp:coreProperties>
</file>