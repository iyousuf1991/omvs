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K:\Role Swap 2025\1 - Role Swaps PRODDSSs\"/>
    </mc:Choice>
  </mc:AlternateContent>
  <xr:revisionPtr revIDLastSave="0" documentId="13_ncr:1_{327255CC-0C04-4570-88A3-B028ED491279}" xr6:coauthVersionLast="47" xr6:coauthVersionMax="47" xr10:uidLastSave="{00000000-0000-0000-0000-000000000000}"/>
  <bookViews>
    <workbookView xWindow="-28785" yWindow="0" windowWidth="20340" windowHeight="15585" tabRatio="940" firstSheet="1" activeTab="1" xr2:uid="{00000000-000D-0000-FFFF-FFFF00000000}"/>
  </bookViews>
  <sheets>
    <sheet name="List of Testers" sheetId="22" r:id="rId1"/>
    <sheet name="iSeries" sheetId="1" r:id="rId2"/>
    <sheet name="Keys" sheetId="25" r:id="rId3"/>
    <sheet name="SBS" sheetId="5" r:id="rId4"/>
    <sheet name="mimix" sheetId="23" r:id="rId5"/>
    <sheet name="HostTables" sheetId="24" r:id="rId6"/>
  </sheets>
  <definedNames>
    <definedName name="_xlnm.Print_Area" localSheetId="1">iSeries!$A$1:$J$158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D62" i="1" s="1"/>
  <c r="D9" i="1" l="1"/>
  <c r="D13" i="1" l="1"/>
  <c r="D14" i="1" s="1"/>
  <c r="D15" i="1" s="1"/>
  <c r="D16" i="1" s="1"/>
  <c r="D17" i="1" s="1"/>
  <c r="D18" i="1" s="1"/>
  <c r="D19" i="1" s="1"/>
  <c r="D10" i="1"/>
  <c r="D11" i="1" s="1"/>
  <c r="D12" i="1" s="1"/>
  <c r="D24" i="1" l="1"/>
  <c r="D20" i="1"/>
  <c r="D21" i="1" s="1"/>
  <c r="D22" i="1" s="1"/>
  <c r="D23" i="1" s="1"/>
  <c r="D25" i="1" l="1"/>
  <c r="D26" i="1" s="1"/>
  <c r="D27" i="1" s="1"/>
  <c r="D28" i="1" s="1"/>
  <c r="D29" i="1" s="1"/>
  <c r="D30" i="1" s="1"/>
  <c r="D31" i="1" s="1"/>
  <c r="D32" i="1" s="1"/>
  <c r="D33" i="1" s="1"/>
  <c r="D34" i="1" l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l="1"/>
  <c r="D49" i="1" s="1"/>
  <c r="D50" i="1" s="1"/>
  <c r="D51" i="1" s="1"/>
  <c r="D52" i="1" s="1"/>
  <c r="D53" i="1" s="1"/>
  <c r="D54" i="1" s="1"/>
  <c r="D55" i="1" s="1"/>
  <c r="D56" i="1" s="1"/>
  <c r="D57" i="1" l="1"/>
  <c r="D58" i="1" s="1"/>
  <c r="D59" i="1" l="1"/>
  <c r="D60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l="1"/>
  <c r="D80" i="1" s="1"/>
  <c r="D81" i="1" s="1"/>
  <c r="D82" i="1" s="1"/>
  <c r="D83" i="1" s="1"/>
  <c r="D84" i="1" l="1"/>
  <c r="D85" i="1" s="1"/>
  <c r="D86" i="1" s="1"/>
  <c r="D87" i="1" s="1"/>
  <c r="D88" i="1" s="1"/>
  <c r="D89" i="1" l="1"/>
  <c r="D90" i="1" s="1"/>
  <c r="D91" i="1" s="1"/>
  <c r="D92" i="1" s="1"/>
  <c r="D93" i="1" s="1"/>
  <c r="D99" i="1" l="1"/>
  <c r="D100" i="1" s="1"/>
  <c r="D101" i="1" s="1"/>
  <c r="D102" i="1" s="1"/>
  <c r="D103" i="1" s="1"/>
  <c r="D94" i="1"/>
  <c r="D95" i="1" s="1"/>
  <c r="D96" i="1" s="1"/>
  <c r="D97" i="1" s="1"/>
  <c r="D98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</calcChain>
</file>

<file path=xl/sharedStrings.xml><?xml version="1.0" encoding="utf-8"?>
<sst xmlns="http://schemas.openxmlformats.org/spreadsheetml/2006/main" count="647" uniqueCount="270">
  <si>
    <r>
      <t>  2   </t>
    </r>
    <r>
      <rPr>
        <b/>
        <sz val="11"/>
        <color rgb="FF000000"/>
        <rFont val="Trebuchet MS"/>
        <family val="2"/>
      </rPr>
      <t xml:space="preserve">Role Swap </t>
    </r>
    <r>
      <rPr>
        <b/>
        <sz val="11"/>
        <color rgb="FFFF0000"/>
        <rFont val="Trebuchet MS"/>
        <family val="2"/>
      </rPr>
      <t>PRODDSS</t>
    </r>
    <r>
      <rPr>
        <b/>
        <sz val="11"/>
        <color rgb="FF000000"/>
        <rFont val="Trebuchet MS"/>
        <family val="2"/>
      </rPr>
      <t xml:space="preserve">/Colo to </t>
    </r>
    <r>
      <rPr>
        <b/>
        <sz val="11"/>
        <color rgb="FFFF0000"/>
        <rFont val="Trebuchet MS"/>
        <family val="2"/>
      </rPr>
      <t>PRODDSS</t>
    </r>
    <r>
      <rPr>
        <b/>
        <sz val="11"/>
        <color rgb="FF000000"/>
        <rFont val="Trebuchet MS"/>
        <family val="2"/>
      </rPr>
      <t>/Temple</t>
    </r>
  </si>
  <si>
    <r>
      <t xml:space="preserve">                             </t>
    </r>
    <r>
      <rPr>
        <sz val="11"/>
        <color rgb="FF000000"/>
        <rFont val="Trebuchet MS"/>
        <family val="2"/>
      </rPr>
      <t> </t>
    </r>
    <r>
      <rPr>
        <sz val="11"/>
        <color theme="1"/>
        <rFont val="Trebuchet MS"/>
        <family val="2"/>
      </rPr>
      <t>Saturday 02/22/2025 -  Starting at 8:30 am</t>
    </r>
  </si>
  <si>
    <t>Kyle Cushman (JDE/RODS)</t>
  </si>
  <si>
    <t>Michael Mclntire. and Scott Davis</t>
  </si>
  <si>
    <t>Bala Mallampati  (Cognos-Reports)</t>
  </si>
  <si>
    <t>Uma Sundaresan/Madison Hanson</t>
  </si>
  <si>
    <t>(load balance - netscaler - multiple)</t>
  </si>
  <si>
    <t>Syndee Stiles</t>
  </si>
  <si>
    <r>
      <t>Tammy Fields</t>
    </r>
    <r>
      <rPr>
        <sz val="16"/>
        <color rgb="FF000000"/>
        <rFont val="Courier New"/>
        <family val="3"/>
      </rPr>
      <t xml:space="preserve"> (479</t>
    </r>
    <r>
      <rPr>
        <sz val="16"/>
        <color theme="1"/>
        <rFont val="Courier New"/>
        <family val="3"/>
      </rPr>
      <t>-936-1266)</t>
    </r>
  </si>
  <si>
    <t>Jason Deal - DNS</t>
  </si>
  <si>
    <t>Workday?</t>
  </si>
  <si>
    <t>Alteryx Server - Roland M. added Feb 2025</t>
  </si>
  <si>
    <t>Goldengate</t>
  </si>
  <si>
    <t>Cognos</t>
  </si>
  <si>
    <t>Bill/WMSHUB and BI</t>
  </si>
  <si>
    <t>DATE:</t>
  </si>
  <si>
    <t xml:space="preserve"> </t>
  </si>
  <si>
    <t>iSeries System Outage Agenda</t>
  </si>
  <si>
    <t>Start</t>
  </si>
  <si>
    <t>End</t>
  </si>
  <si>
    <t>Steps</t>
  </si>
  <si>
    <t>Activity</t>
  </si>
  <si>
    <t>Sys</t>
  </si>
  <si>
    <t>Notes</t>
  </si>
  <si>
    <t>ISERIES-907 -- CM-24663</t>
  </si>
  <si>
    <t>INFO</t>
  </si>
  <si>
    <t>Friday</t>
  </si>
  <si>
    <t>done</t>
  </si>
  <si>
    <t>Mary</t>
  </si>
  <si>
    <t>Do a do ETS50050 *disable mimix audits</t>
  </si>
  <si>
    <t>PE</t>
  </si>
  <si>
    <t>Hold Re* 'Saturday Jobs  RE020SAT,  RE030SAT, RE040SAT</t>
  </si>
  <si>
    <t>Saturday</t>
  </si>
  <si>
    <t xml:space="preserve">        </t>
  </si>
  <si>
    <t>Ops</t>
  </si>
  <si>
    <t>Start Teams Meeting</t>
  </si>
  <si>
    <r>
      <t xml:space="preserve">Signon to CONSOLE as </t>
    </r>
    <r>
      <rPr>
        <b/>
        <i/>
        <u/>
        <sz val="16"/>
        <color rgb="FFFF0000"/>
        <rFont val="Segoe UI"/>
        <family val="2"/>
      </rPr>
      <t>myself</t>
    </r>
    <r>
      <rPr>
        <sz val="16"/>
        <rFont val="Segoe UI"/>
        <family val="2"/>
      </rPr>
      <t xml:space="preserve"> to PRODDSS/Carrollton  </t>
    </r>
  </si>
  <si>
    <t>DSS/C</t>
  </si>
  <si>
    <t>10.7.1.130</t>
  </si>
  <si>
    <t>Logon to Teams Meeting</t>
  </si>
  <si>
    <t>https://olamvssprod.mclaneco.com</t>
  </si>
  <si>
    <t>Select Template Needed                                                                                                                   Change DNS: PRODDSS to point from 10.7.1.163 to 10.7.1.230</t>
  </si>
  <si>
    <t>ipconfig /flushdns</t>
  </si>
  <si>
    <t>ping after DNS chgs: RODS.APPN.SNA.IBM.COM ; PRODDSS.APPN.SNA.IBM.COM</t>
  </si>
  <si>
    <t>End Robot Schedule: rbo&gt;1&gt;3&gt;2</t>
  </si>
  <si>
    <t>ENDs Replication between PRODe/ to PRODDSS/ha</t>
  </si>
  <si>
    <r>
      <rPr>
        <b/>
        <sz val="16"/>
        <color rgb="FFFF0000"/>
        <rFont val="Segoe UI"/>
        <family val="2"/>
      </rPr>
      <t>MIMIX/ENDMM</t>
    </r>
    <r>
      <rPr>
        <sz val="16"/>
        <rFont val="Segoe UI"/>
        <family val="2"/>
      </rPr>
      <t>X and Press Enter</t>
    </r>
  </si>
  <si>
    <t>if &gt; 10 minutes</t>
  </si>
  <si>
    <r>
      <t xml:space="preserve">MIMIX/WRKDG to monitor (proda)  </t>
    </r>
    <r>
      <rPr>
        <b/>
        <sz val="16"/>
        <color rgb="FFFF0000"/>
        <rFont val="Segoe UI"/>
        <family val="2"/>
      </rPr>
      <t xml:space="preserve"> MIMIXIASP/WRKDG</t>
    </r>
    <r>
      <rPr>
        <sz val="16"/>
        <rFont val="Segoe UI"/>
        <family val="2"/>
      </rPr>
      <t xml:space="preserve"> to monitor (proddssha)</t>
    </r>
  </si>
  <si>
    <t>make sure all datagroups are down, end manually if needed</t>
  </si>
  <si>
    <r>
      <rPr>
        <b/>
        <sz val="16"/>
        <color rgb="FFFF0000"/>
        <rFont val="Segoe UI"/>
        <family val="2"/>
      </rPr>
      <t>MIMIX/WRKSYS</t>
    </r>
    <r>
      <rPr>
        <sz val="16"/>
        <rFont val="Segoe UI"/>
        <family val="2"/>
      </rPr>
      <t xml:space="preserve">    *INACTIVE all</t>
    </r>
  </si>
  <si>
    <t>Subsystem Active and ports are active</t>
  </si>
  <si>
    <t>After ending mimix, ports should only be *active under all 4 nodes sbs</t>
  </si>
  <si>
    <t>DSS/T</t>
  </si>
  <si>
    <t>PA</t>
  </si>
  <si>
    <r>
      <t xml:space="preserve">End mimix sbs on proddss/prod it should be showing two ports:  </t>
    </r>
    <r>
      <rPr>
        <b/>
        <sz val="16"/>
        <color rgb="FFFF0000"/>
        <rFont val="Segoe UI"/>
        <family val="2"/>
      </rPr>
      <t>ENDSBS SBS(MIMIXSBS) OPTION(*IMMED)</t>
    </r>
  </si>
  <si>
    <r>
      <t xml:space="preserve">End mimix sbs on proddss/ha it should be showing 1 port:  </t>
    </r>
    <r>
      <rPr>
        <b/>
        <sz val="16"/>
        <color rgb="FFFF0000"/>
        <rFont val="Segoe UI"/>
        <family val="2"/>
      </rPr>
      <t>ENDSBS SBS(MIMIXSBS) OPTION(*IMMED)</t>
    </r>
  </si>
  <si>
    <t>Kill sbs's on proddss/prod and proddss/ha to kill ports</t>
  </si>
  <si>
    <t>2 ports/source….1 port/target active</t>
  </si>
  <si>
    <t xml:space="preserve">ENDTCPIFC INTNETADR('10.7.1.169')  </t>
  </si>
  <si>
    <t xml:space="preserve">Deactivate 10.7.1.169 - </t>
  </si>
  <si>
    <r>
      <t xml:space="preserve">Verified it's ended&gt; </t>
    </r>
    <r>
      <rPr>
        <b/>
        <sz val="16"/>
        <color rgb="FFFF0000"/>
        <rFont val="Segoe UI"/>
        <family val="2"/>
      </rPr>
      <t xml:space="preserve"> NETSTAT OPTION(*IFC)</t>
    </r>
  </si>
  <si>
    <t>Before and After Images</t>
  </si>
  <si>
    <r>
      <t xml:space="preserve"> </t>
    </r>
    <r>
      <rPr>
        <b/>
        <sz val="16"/>
        <color rgb="FFFF0000"/>
        <rFont val="Segoe UI"/>
        <family val="2"/>
      </rPr>
      <t xml:space="preserve">STRTCPIFC INTNETADR('10.7.1.169') </t>
    </r>
  </si>
  <si>
    <t>Activate 10.7.1.169 -</t>
  </si>
  <si>
    <r>
      <t xml:space="preserve">Verified it's ended&gt;  </t>
    </r>
    <r>
      <rPr>
        <b/>
        <sz val="16"/>
        <color rgb="FFFF0000"/>
        <rFont val="Segoe UI"/>
        <family val="2"/>
      </rPr>
      <t>NETSTAT OPTION(*IFC)</t>
    </r>
  </si>
  <si>
    <t>Start Role Swap from Proddss/HA to Proddss/Prod</t>
  </si>
  <si>
    <t>Logoff and back on to CONSOLE as QSECOFR  PRODDSS/Carrollton</t>
  </si>
  <si>
    <t>WRKCLU</t>
  </si>
  <si>
    <t>Run QZRDPWRHA/CHKDUPLIBS  IASP(DSSIASP)</t>
  </si>
  <si>
    <t>ADDLIBLE QZRDPWRHA and QZRDHASM</t>
  </si>
  <si>
    <t>QSYS/WRKASPJOB   *end all jobs</t>
  </si>
  <si>
    <t>Take Option 9 - Verify DSSDEVCRG Resource Group is Active and Primary Node is Correct</t>
  </si>
  <si>
    <t xml:space="preserve">Option 6 </t>
  </si>
  <si>
    <t>Take Option 10 - Verify ASP Copy&gt; Take Option 25 on DSSHA, make sure Asp Copy is Corret</t>
  </si>
  <si>
    <t>qbatch has to be active….start sbs qbatch in library qsys on all 4 nodes</t>
  </si>
  <si>
    <t>DA/C</t>
  </si>
  <si>
    <t>Take Option 9 &gt; Take Option 3=Change primary&gt;dssdevcrg</t>
  </si>
  <si>
    <t>qbatch</t>
  </si>
  <si>
    <t>Varyoff should take 2:37 on source/Job ends once it has vary off the iasp</t>
  </si>
  <si>
    <t>Start another session to PRODDSS/Carrollton to monitor:  ASP State will go to VARYOFF</t>
  </si>
  <si>
    <r>
      <t>Signon to</t>
    </r>
    <r>
      <rPr>
        <b/>
        <sz val="16"/>
        <color rgb="FFFF0000"/>
        <rFont val="Segoe UI"/>
        <family val="2"/>
      </rPr>
      <t xml:space="preserve"> </t>
    </r>
    <r>
      <rPr>
        <sz val="16"/>
        <rFont val="Segoe UI"/>
        <family val="2"/>
      </rPr>
      <t>CONSOLE as QSECOFR on PRODDSS/Temple to Monitor: ASP State will go to AVAILABLE</t>
    </r>
  </si>
  <si>
    <t>10.7.1.180</t>
  </si>
  <si>
    <t>Takes 1:37 to varyon iasp on dss car/Once role swap starts job runs in qbatch on target system</t>
  </si>
  <si>
    <t>Verify Direction of Replication has been switch</t>
  </si>
  <si>
    <t>10.7.1.182 or 10.7.1.132</t>
  </si>
  <si>
    <t>Verify Cluster on all 4 nodes are active</t>
  </si>
  <si>
    <t>Verify 3rd party software on PRODDSS/Temple</t>
  </si>
  <si>
    <t xml:space="preserve">Apply Turnover Key   </t>
  </si>
  <si>
    <t>logon as me</t>
  </si>
  <si>
    <t>'IFS KEY:    /home/unicom/licenses/TN4/*</t>
  </si>
  <si>
    <t>DOES NOT REPLICATE FOR PRODDSS</t>
  </si>
  <si>
    <t>SKIP</t>
  </si>
  <si>
    <t>IBM I Access Client Solutions to rename</t>
  </si>
  <si>
    <t xml:space="preserve">&gt; RENAME License to LicenseCOLO2025 </t>
  </si>
  <si>
    <t>proddssha</t>
  </si>
  <si>
    <t xml:space="preserve">&gt; RENAME LicenseTemple2025 to License </t>
  </si>
  <si>
    <t>before role swap back to temple</t>
  </si>
  <si>
    <t xml:space="preserve">LPAR 3 - </t>
  </si>
  <si>
    <t>before role swap</t>
  </si>
  <si>
    <t>SOFTTURNE/TWRKLIC</t>
  </si>
  <si>
    <t>had to ftp M4SYS library from upgrade/*sysbas</t>
  </si>
  <si>
    <r>
      <t xml:space="preserve">STRSBS QGPL/TSERVER if not started&gt;  </t>
    </r>
    <r>
      <rPr>
        <b/>
        <sz val="16"/>
        <rFont val="Segoe UI"/>
        <family val="2"/>
      </rPr>
      <t>STRSBS SBSD(QGPL/TSERVER)</t>
    </r>
  </si>
  <si>
    <t>Option 11&gt;Option 1&gt;2=change PRODDSS&gt;Change Serial number to *LOCAL and Press Enter</t>
  </si>
  <si>
    <t>SN# 7858201</t>
  </si>
  <si>
    <t>Robot Schedule</t>
  </si>
  <si>
    <t>login as mlengbr2</t>
  </si>
  <si>
    <t>Bring down RBTSLEEPER Subsystem by running RSLSHUTDWN</t>
  </si>
  <si>
    <t>rbtsyslib/rslshutdwn</t>
  </si>
  <si>
    <t>(RSLCHGSYSN BEFORE(PRODDSS) AFTER(PRODDSS) PRODUCT(ROBOT))</t>
  </si>
  <si>
    <t>same system name</t>
  </si>
  <si>
    <t>RSLSETOID PRC(RBT)</t>
  </si>
  <si>
    <t>STRSBS SBSD(RBTSYSLIB/RBTSLEEPER)</t>
  </si>
  <si>
    <t>Verify that all subsystem are Active  see Tab</t>
  </si>
  <si>
    <t>Verify all tcp servers and host servers are active that should be</t>
  </si>
  <si>
    <t>Host Table Changes for PRODDSSHA</t>
  </si>
  <si>
    <t>F15 Postion To</t>
  </si>
  <si>
    <t>RMVTCPHTE INTNETADR('10.7.1.230')</t>
  </si>
  <si>
    <t>RMVTCPHTE INTNETADR('10.7.1.163')</t>
  </si>
  <si>
    <t>ADDTCPHTE INTNETADR('10.7.1.230') HOSTNAME((PRODDSS) (PRODDSS.APPN.SNA.IBM.COM) (RODS) (MSDSS) (MXVPRDSS))</t>
  </si>
  <si>
    <t>ADDTCPHTE INTNETADR('10.7.1.163') HOSTNAME((BRMSDSS))</t>
  </si>
  <si>
    <t>I need for MIMIX</t>
  </si>
  <si>
    <t>Host Table Changes for PRODDSS</t>
  </si>
  <si>
    <t xml:space="preserve">Host Table Changes for PRODE </t>
  </si>
  <si>
    <t>ADDTCPHTE INTNETADR('10.7.1.230') HOSTNAME((PRODDSS) (PRODDSS.APPN.SNA.IBM.COM) (RODS) (MSDSS) (MXVPDSS))</t>
  </si>
  <si>
    <t xml:space="preserve">Host Table Changes for PRODA </t>
  </si>
  <si>
    <t xml:space="preserve">Host Table Changes for DEVA </t>
  </si>
  <si>
    <t>DEVA/T</t>
  </si>
  <si>
    <t>ADDTCPHTE INTNETADR('10.7.1.230') HOSTNAME((PRODDSS) (PRODDSS.APPN.SNA.IBM.COM) (RODSVRT))</t>
  </si>
  <si>
    <t>Host Table Changes for DEVA/HA</t>
  </si>
  <si>
    <t>DEVA/C</t>
  </si>
  <si>
    <t>Turn Over To Teams for Testing</t>
  </si>
  <si>
    <t>OPS</t>
  </si>
  <si>
    <t>See Tab 1 for List of Testers</t>
  </si>
  <si>
    <t xml:space="preserve">JDE   </t>
  </si>
  <si>
    <t>Compare counts prior to starting MIMIX</t>
  </si>
  <si>
    <t>Run ETS50204    RUNQRY ZMARY/ROLECNTSPE   to display counts</t>
  </si>
  <si>
    <t>START MIMIX REPLICATION BETWEEN PRODE/PROD TO PRODDSS/HA</t>
  </si>
  <si>
    <t>MIMIX</t>
  </si>
  <si>
    <t xml:space="preserve">STRSQL verify relational database if PRODDSS </t>
  </si>
  <si>
    <t>before on proda to proddssc</t>
  </si>
  <si>
    <r>
      <t xml:space="preserve">WRKRD* delete              </t>
    </r>
    <r>
      <rPr>
        <b/>
        <sz val="16"/>
        <color rgb="FFFF0000"/>
        <rFont val="Segoe UI"/>
        <family val="2"/>
      </rPr>
      <t>MX_MIMIXIASP_IABA   10.7.1.169</t>
    </r>
  </si>
  <si>
    <t>dssiasp/prode&amp;proddss;proddss/proda&amp;proddssha</t>
  </si>
  <si>
    <t>ADDRDBDIRE RDB(DSSIASP  MX_MIMIXIASP_IABA) RMTLOCNAME('10.7.1.169' *IP)  **floating ip</t>
  </si>
  <si>
    <t>RDB* from DSSIASP to PRODDSS/name of the IASP in wrkrb*/*LOOPBACK  is the Relational Database</t>
  </si>
  <si>
    <t>Verify MIMIX SBS is started on PRODA and PRODE</t>
  </si>
  <si>
    <r>
      <t xml:space="preserve">Start MIMIX SBS on Proddss/Car&gt;&gt;   </t>
    </r>
    <r>
      <rPr>
        <b/>
        <sz val="16"/>
        <color rgb="FFFF0000"/>
        <rFont val="Segoe UI"/>
        <family val="2"/>
      </rPr>
      <t>STRSBS MIMIXQGPL/MIMIXSBS</t>
    </r>
  </si>
  <si>
    <t>Should only have 1 port active AND  10.7.1.169 S/B *inactive</t>
  </si>
  <si>
    <r>
      <t xml:space="preserve">Start MIMIX SBS on Proddss/Prod/Temple&gt;&gt;    </t>
    </r>
    <r>
      <rPr>
        <b/>
        <sz val="16"/>
        <color rgb="FFFF0000"/>
        <rFont val="Segoe UI"/>
        <family val="2"/>
      </rPr>
      <t>STRSBS MIMIXQGPL/MIMIXSBS</t>
    </r>
  </si>
  <si>
    <t>Make sure both ports are active</t>
  </si>
  <si>
    <t>SEE MIMIX TAB</t>
  </si>
  <si>
    <t>LOGON: MLENGBR2 &gt; MIMIXIASP/MIMIX  &gt;MIMIXIASP/STRSVR HOST('10.7.1.169') PORT(50500)</t>
  </si>
  <si>
    <t>RUN IF PORT WILL NOT START</t>
  </si>
  <si>
    <t>MIMIX/WRKSYS Option 9</t>
  </si>
  <si>
    <t>starts communication</t>
  </si>
  <si>
    <t>MIMIX/STRMMX to start replication</t>
  </si>
  <si>
    <t>Check File counts once MIMIX has been Started to make sure they are changing</t>
  </si>
  <si>
    <t>Run ETS50205    RUNQRY ZMARY/ROLECNTSPA   to display before counts</t>
  </si>
  <si>
    <t>MISC</t>
  </si>
  <si>
    <t>Make Sure Robot Schedule has Been Started</t>
  </si>
  <si>
    <t>Check robot/console    AND   robot alert</t>
  </si>
  <si>
    <t>Run miss jobs/start robot jobs that need to be started</t>
  </si>
  <si>
    <r>
      <t>Robot Schedule:  display missed jobs    time frame: 0827</t>
    </r>
    <r>
      <rPr>
        <b/>
        <sz val="16"/>
        <rFont val="Segoe UI"/>
        <family val="2"/>
      </rPr>
      <t xml:space="preserve"> to ????   </t>
    </r>
    <r>
      <rPr>
        <sz val="16"/>
        <rFont val="Segoe UI"/>
        <family val="2"/>
      </rPr>
      <t>date:</t>
    </r>
    <r>
      <rPr>
        <b/>
        <sz val="16"/>
        <rFont val="Segoe UI"/>
        <family val="2"/>
      </rPr>
      <t xml:space="preserve"> 02/22/2025</t>
    </r>
  </si>
  <si>
    <t>Do a 'DO' on ETS50020 Terminated jobs</t>
  </si>
  <si>
    <t>Release   'Saturday Jobs  RE020SAT,  RE030SAT, RE040SAT' and DO if needed</t>
  </si>
  <si>
    <t>Release ETS50051 *enable mimix audits</t>
  </si>
  <si>
    <t xml:space="preserve">Verify that performance is running  </t>
  </si>
  <si>
    <t>Do a 'DO' on ETS50001 Disable APPADMIN &amp; SYSMGMT</t>
  </si>
  <si>
    <t>DO' on Robot job ETS40080 to Reset Robot Host Node for GUI monitor</t>
  </si>
  <si>
    <t>ROBOT NETWORK GUI AFTER ROLE SWAP</t>
  </si>
  <si>
    <t>ROBOT GUI  - NETWORK</t>
  </si>
  <si>
    <t>RBTNETNODE/RBNENDNODE</t>
  </si>
  <si>
    <t xml:space="preserve">RSLWL  </t>
  </si>
  <si>
    <t>IFS</t>
  </si>
  <si>
    <t>ROBOT NETWORK&gt;nodeConfig.xml
&gt;&gt;&gt;search on Primary Shift/F4</t>
  </si>
  <si>
    <t xml:space="preserve">RBTNETNODE/RBNCFGNODE HOSTIP('10.7.1.239') AHOSTIP(*NONE) </t>
  </si>
  <si>
    <t>RBTNETNODE/RBNSTRNODE</t>
  </si>
  <si>
    <t>IF MULTIPLE NODES IN GREY: GO TO PRODE</t>
  </si>
  <si>
    <t xml:space="preserve">RBTNETLIB/RBNDLTNODE F4 and input DEVA (delete twice if needed) </t>
  </si>
  <si>
    <t>WRKCFGSTS CFGTYPE(*CTL) CFGD(*CMN)</t>
  </si>
  <si>
    <t>LPAR 2</t>
  </si>
  <si>
    <t>42A</t>
  </si>
  <si>
    <t>EPGM</t>
  </si>
  <si>
    <t>Spreadsheet</t>
  </si>
  <si>
    <t>Abstract</t>
  </si>
  <si>
    <t>sysbas</t>
  </si>
  <si>
    <t>perm</t>
  </si>
  <si>
    <t>A</t>
  </si>
  <si>
    <t>Turnover</t>
  </si>
  <si>
    <t>ready/rename</t>
  </si>
  <si>
    <t>QMGTOOLS</t>
  </si>
  <si>
    <t>no keys</t>
  </si>
  <si>
    <t>Esend</t>
  </si>
  <si>
    <t>B</t>
  </si>
  <si>
    <t>Robot CONSOLE</t>
  </si>
  <si>
    <t>proddss-T&amp;C from T</t>
  </si>
  <si>
    <t>Robot Alert</t>
  </si>
  <si>
    <t>IASP</t>
  </si>
  <si>
    <t>Robot Network</t>
  </si>
  <si>
    <t>Taatools</t>
  </si>
  <si>
    <t>90 days</t>
  </si>
  <si>
    <t>DBU11</t>
  </si>
  <si>
    <t>ABSTRACT</t>
  </si>
  <si>
    <t>ADDLIBLE ABSTRACT</t>
  </si>
  <si>
    <t>APPERM</t>
  </si>
  <si>
    <t>EMM0817E869+HCL6M49UXMG0UAWMEKZDM7WQT8BGL48V3427C+4TWV4K*J*1TI+PPWMTZM6MBM1</t>
  </si>
  <si>
    <t>ESEND</t>
  </si>
  <si>
    <t>ADDLIBLE ESEND</t>
  </si>
  <si>
    <t>ESPERM</t>
  </si>
  <si>
    <t>6NIF26F1B3PPIZKRFVN4WF0QFJ+FD5*MFWEZ9XNT9QKPAQBR6HQ078Q83ISGB1VEE*TK*FGYCFG</t>
  </si>
  <si>
    <t>DBU</t>
  </si>
  <si>
    <t>ADDLIBLE DBU11</t>
  </si>
  <si>
    <t>DBUSEC</t>
  </si>
  <si>
    <t>7858201 DBU      11.0 13431F C7181B 0F2001  5103_________enter    (partition 3)</t>
  </si>
  <si>
    <t>TAATOOLS</t>
  </si>
  <si>
    <t>ADDLIBLE TAATOOL</t>
  </si>
  <si>
    <t>CHGTAAKEY</t>
  </si>
  <si>
    <t>CHGTAAKEY KEY(547399CEB851D098B4F2FA5289B362E96AF00F747255293B5124D7265286</t>
  </si>
  <si>
    <t>)</t>
  </si>
  <si>
    <t xml:space="preserve">This key can only be used on this system.                                            </t>
  </si>
  <si>
    <t xml:space="preserve">   Serial number    -  7858201                                                       </t>
  </si>
  <si>
    <t xml:space="preserve">   Model            -  P20                                                           </t>
  </si>
  <si>
    <t>   Feature code     - *NA                                                            </t>
  </si>
  <si>
    <t xml:space="preserve">   Release          - V7R3M0                                                         </t>
  </si>
  <si>
    <t xml:space="preserve">   Expiration date  - *UNLIMITED                                                     </t>
  </si>
  <si>
    <t>Use it when installing the tools or with the CHGTAAKEY command.                      </t>
  </si>
  <si>
    <t xml:space="preserve">The key information should be entered as:                                            </t>
  </si>
  <si>
    <t xml:space="preserve">   Key value 54 73 99 CE B8 51 D0 98 B4 F2 FA 52 89 B3 62 E9 6A F0 0F 74             </t>
  </si>
  <si>
    <t>             -- -- -- -- -- -- -- -- -- -- -- -- -- -- -- -- -- -- -- --             </t>
  </si>
  <si>
    <t xml:space="preserve">   Position  1  2  3  4  5  6  7  8  9  10 11 12 13 14 15 16 17 18 19 20             </t>
  </si>
  <si>
    <t xml:space="preserve">   Key value 72 55 29 3B 51 24 D7 26 52 86                                           </t>
  </si>
  <si>
    <t>             -- -- -- -- -- -- -- -- -- --                                           </t>
  </si>
  <si>
    <t xml:space="preserve">   Position  21 22 23 24 25 26 27 28 29 30                                           </t>
  </si>
  <si>
    <t xml:space="preserve">If you have the April 15, 2017 refresh (R66) or later you can use                    </t>
  </si>
  <si>
    <t>this value for the KEY parameter on the CHGTAAKEY command.                           </t>
  </si>
  <si>
    <t xml:space="preserve">547399CEB851D098B4F2FA5289B362E96AF00F747255293B5124D7265286                         </t>
  </si>
  <si>
    <t>PRODDSS/PROD</t>
  </si>
  <si>
    <t>PRODDSS/HA</t>
  </si>
  <si>
    <t>Subsystem</t>
  </si>
  <si>
    <t>MIMIXSBS</t>
  </si>
  <si>
    <t>MIMIXQGPL</t>
  </si>
  <si>
    <t>QBATCH</t>
  </si>
  <si>
    <t>QSYS</t>
  </si>
  <si>
    <t>QCMN</t>
  </si>
  <si>
    <t>QSTRUPPGM</t>
  </si>
  <si>
    <t>QCTL</t>
  </si>
  <si>
    <t>Startup program</t>
  </si>
  <si>
    <t>QHTTPSVR</t>
  </si>
  <si>
    <t>QINTER</t>
  </si>
  <si>
    <t>QSERVER</t>
  </si>
  <si>
    <t>. :   STRPWRHA71</t>
  </si>
  <si>
    <t>QSNADS</t>
  </si>
  <si>
    <t>. :     PRDPWRHA</t>
  </si>
  <si>
    <t>this call qgpl/startup</t>
  </si>
  <si>
    <t>QSPL</t>
  </si>
  <si>
    <t>QSYSWRK</t>
  </si>
  <si>
    <t>qgpl/startup</t>
  </si>
  <si>
    <t>OBJ/AMSCONFIG</t>
  </si>
  <si>
    <t>did not come up when role swap to ha</t>
  </si>
  <si>
    <t>QUSRWRK</t>
  </si>
  <si>
    <t>Q1ABRMNET</t>
  </si>
  <si>
    <t>QBRM</t>
  </si>
  <si>
    <t>RBTSLEEPER</t>
  </si>
  <si>
    <t>RBTSYSLIB</t>
  </si>
  <si>
    <t>TSERVER</t>
  </si>
  <si>
    <t>QGPL</t>
  </si>
  <si>
    <t>******this was the only sbs that did not come up</t>
  </si>
  <si>
    <t>all sbs up on the way back</t>
  </si>
  <si>
    <t>PRODDSS/T</t>
  </si>
  <si>
    <t>PRODDSS/C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</si>
</sst>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"/>
    <numFmt numFmtId="165" formatCode="_(* #,##0_);_(* \(#,##0\);_(* &quot;-&quot;??_);_(@_)"/>
    <numFmt numFmtId="166" formatCode="[$-409]h:mm\ AM/PM;@"/>
  </numFmts>
  <fonts count="45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name val="Arial"/>
      <family val="2"/>
    </font>
    <font>
      <sz val="11"/>
      <color theme="1"/>
      <name val="Trebuchet MS"/>
      <family val="2"/>
    </font>
    <font>
      <b/>
      <u/>
      <sz val="10"/>
      <color theme="1"/>
      <name val="Trebuchet MS"/>
      <family val="2"/>
    </font>
    <font>
      <sz val="9"/>
      <name val="Wingdings"/>
      <charset val="2"/>
    </font>
    <font>
      <sz val="9"/>
      <name val="Trebuchet MS"/>
      <family val="2"/>
    </font>
    <font>
      <sz val="10"/>
      <color rgb="FFFF0000"/>
      <name val="Trebuchet MS"/>
      <family val="2"/>
    </font>
    <font>
      <b/>
      <sz val="11"/>
      <color rgb="FF000000"/>
      <name val="Trebuchet MS"/>
      <family val="2"/>
    </font>
    <font>
      <b/>
      <sz val="11"/>
      <color rgb="FFFF0000"/>
      <name val="Trebuchet MS"/>
      <family val="2"/>
    </font>
    <font>
      <sz val="11"/>
      <color rgb="FF000000"/>
      <name val="Trebuchet MS"/>
      <family val="2"/>
    </font>
    <font>
      <sz val="11"/>
      <color rgb="FF44546A"/>
      <name val="Trebuchet MS"/>
      <family val="2"/>
    </font>
    <font>
      <b/>
      <sz val="11"/>
      <color theme="1"/>
      <name val="Trebuchet MS"/>
      <family val="2"/>
    </font>
    <font>
      <sz val="9"/>
      <name val="Segoe UI Mono"/>
      <family val="3"/>
    </font>
    <font>
      <b/>
      <sz val="9"/>
      <color indexed="8"/>
      <name val="Segoe UI Mono"/>
      <family val="3"/>
    </font>
    <font>
      <b/>
      <sz val="9"/>
      <name val="Segoe UI Mono"/>
      <family val="3"/>
    </font>
    <font>
      <b/>
      <sz val="9"/>
      <color rgb="FFFF0000"/>
      <name val="Segoe UI Mono"/>
      <family val="3"/>
    </font>
    <font>
      <b/>
      <sz val="16"/>
      <name val="Trebuchet MS"/>
      <family val="2"/>
    </font>
    <font>
      <sz val="16"/>
      <name val="Segoe UI"/>
      <family val="2"/>
    </font>
    <font>
      <b/>
      <sz val="16"/>
      <name val="Segoe UI"/>
      <family val="2"/>
    </font>
    <font>
      <b/>
      <sz val="16"/>
      <color rgb="FFFF0000"/>
      <name val="Segoe UI"/>
      <family val="2"/>
    </font>
    <font>
      <b/>
      <sz val="16"/>
      <color indexed="8"/>
      <name val="Segoe UI"/>
      <family val="2"/>
    </font>
    <font>
      <sz val="16"/>
      <color theme="1"/>
      <name val="Segoe UI"/>
      <family val="2"/>
    </font>
    <font>
      <b/>
      <sz val="16"/>
      <color theme="1"/>
      <name val="Segoe UI"/>
      <family val="2"/>
    </font>
    <font>
      <b/>
      <sz val="16"/>
      <color indexed="10"/>
      <name val="Segoe UI"/>
      <family val="2"/>
    </font>
    <font>
      <b/>
      <i/>
      <u/>
      <sz val="16"/>
      <color rgb="FFFF0000"/>
      <name val="Segoe UI"/>
      <family val="2"/>
    </font>
    <font>
      <b/>
      <u/>
      <sz val="16"/>
      <name val="Segoe UI"/>
      <family val="2"/>
    </font>
    <font>
      <b/>
      <i/>
      <sz val="16"/>
      <color rgb="FFFF0000"/>
      <name val="Segoe UI"/>
      <family val="2"/>
    </font>
    <font>
      <b/>
      <sz val="16"/>
      <color rgb="FF000000"/>
      <name val="Segoe UI"/>
      <family val="2"/>
    </font>
    <font>
      <sz val="16"/>
      <color rgb="FFFF0000"/>
      <name val="Segoe UI"/>
      <family val="2"/>
    </font>
    <font>
      <sz val="16"/>
      <name val="Trebuchet MS"/>
      <family val="2"/>
    </font>
    <font>
      <b/>
      <i/>
      <sz val="10"/>
      <color theme="1"/>
      <name val="Trebuchet MS"/>
      <family val="2"/>
    </font>
    <font>
      <b/>
      <sz val="10"/>
      <color rgb="FFFF0000"/>
      <name val="Trebuchet MS"/>
      <family val="2"/>
    </font>
    <font>
      <sz val="10"/>
      <color theme="1"/>
      <name val="Verdana"/>
      <family val="2"/>
    </font>
    <font>
      <sz val="10"/>
      <color rgb="FF000000"/>
      <name val="Tahoma"/>
      <family val="2"/>
    </font>
    <font>
      <sz val="10"/>
      <color theme="1"/>
      <name val="Courier"/>
    </font>
    <font>
      <u/>
      <sz val="10"/>
      <color theme="10"/>
      <name val="Trebuchet MS"/>
      <family val="2"/>
    </font>
    <font>
      <u/>
      <sz val="36"/>
      <color theme="10"/>
      <name val="Trebuchet MS"/>
      <family val="2"/>
    </font>
    <font>
      <b/>
      <sz val="24"/>
      <color theme="1"/>
      <name val="Segoe UI"/>
      <family val="2"/>
    </font>
    <font>
      <sz val="16"/>
      <color theme="1"/>
      <name val="Courier New"/>
      <family val="3"/>
    </font>
    <font>
      <sz val="16"/>
      <color rgb="FF000000"/>
      <name val="Courier New"/>
      <family val="3"/>
    </font>
    <font>
      <b/>
      <sz val="22"/>
      <color rgb="FFFF0000"/>
      <name val="Segoe UI"/>
      <family val="2"/>
    </font>
    <font>
      <b/>
      <sz val="22"/>
      <color theme="1"/>
      <name val="Segoe UI"/>
      <family val="2"/>
    </font>
    <font>
      <b/>
      <sz val="20"/>
      <color rgb="FFFF0000"/>
      <name val="Segoe UI"/>
      <family val="2"/>
    </font>
    <font>
      <b/>
      <u/>
      <sz val="12"/>
      <color rgb="FF000000"/>
      <name val="Segoe UI Mono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6" fillId="0" borderId="0" applyNumberFormat="0" applyFill="0" applyBorder="0" applyAlignment="0" applyProtection="0"/>
  </cellStyleXfs>
  <cellXfs count="213">
    <xf numFmtId="0" fontId="0" fillId="0" borderId="0" xfId="0"/>
    <xf numFmtId="0" fontId="3" fillId="0" borderId="0" xfId="0" applyFont="1" applyAlignment="1">
      <alignment vertical="center"/>
    </xf>
    <xf numFmtId="0" fontId="0" fillId="4" borderId="0" xfId="0" applyFill="1"/>
    <xf numFmtId="0" fontId="4" fillId="0" borderId="0" xfId="0" applyFont="1"/>
    <xf numFmtId="0" fontId="4" fillId="3" borderId="0" xfId="0" applyFont="1" applyFill="1"/>
    <xf numFmtId="0" fontId="5" fillId="0" borderId="0" xfId="0" applyFont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 indent="4"/>
    </xf>
    <xf numFmtId="0" fontId="3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3" fillId="2" borderId="1" xfId="4" applyFont="1" applyFill="1" applyBorder="1" applyAlignment="1">
      <alignment horizontal="left" wrapText="1"/>
    </xf>
    <xf numFmtId="1" fontId="14" fillId="2" borderId="2" xfId="4" applyNumberFormat="1" applyFont="1" applyFill="1" applyBorder="1" applyAlignment="1">
      <alignment horizontal="center"/>
    </xf>
    <xf numFmtId="1" fontId="15" fillId="2" borderId="1" xfId="4" applyNumberFormat="1" applyFont="1" applyFill="1" applyBorder="1" applyAlignment="1">
      <alignment horizontal="center"/>
    </xf>
    <xf numFmtId="1" fontId="15" fillId="2" borderId="3" xfId="4" applyNumberFormat="1" applyFont="1" applyFill="1" applyBorder="1" applyAlignment="1">
      <alignment horizontal="center"/>
    </xf>
    <xf numFmtId="1" fontId="16" fillId="2" borderId="1" xfId="4" applyNumberFormat="1" applyFont="1" applyFill="1" applyBorder="1" applyAlignment="1">
      <alignment horizontal="center" wrapText="1"/>
    </xf>
    <xf numFmtId="166" fontId="18" fillId="7" borderId="1" xfId="4" applyNumberFormat="1" applyFont="1" applyFill="1" applyBorder="1" applyAlignment="1">
      <alignment horizontal="center"/>
    </xf>
    <xf numFmtId="18" fontId="19" fillId="7" borderId="1" xfId="4" applyNumberFormat="1" applyFont="1" applyFill="1" applyBorder="1" applyAlignment="1">
      <alignment horizontal="center"/>
    </xf>
    <xf numFmtId="0" fontId="18" fillId="7" borderId="1" xfId="4" applyFont="1" applyFill="1" applyBorder="1" applyAlignment="1">
      <alignment horizontal="center"/>
    </xf>
    <xf numFmtId="0" fontId="19" fillId="7" borderId="1" xfId="4" applyFont="1" applyFill="1" applyBorder="1" applyAlignment="1">
      <alignment horizontal="left" wrapText="1"/>
    </xf>
    <xf numFmtId="1" fontId="21" fillId="7" borderId="2" xfId="4" applyNumberFormat="1" applyFont="1" applyFill="1" applyBorder="1" applyAlignment="1">
      <alignment horizontal="center"/>
    </xf>
    <xf numFmtId="1" fontId="19" fillId="7" borderId="1" xfId="4" applyNumberFormat="1" applyFont="1" applyFill="1" applyBorder="1" applyAlignment="1">
      <alignment horizontal="center"/>
    </xf>
    <xf numFmtId="1" fontId="19" fillId="7" borderId="3" xfId="4" applyNumberFormat="1" applyFont="1" applyFill="1" applyBorder="1" applyAlignment="1">
      <alignment horizontal="center"/>
    </xf>
    <xf numFmtId="1" fontId="19" fillId="7" borderId="1" xfId="4" applyNumberFormat="1" applyFont="1" applyFill="1" applyBorder="1" applyAlignment="1">
      <alignment horizontal="center" wrapText="1"/>
    </xf>
    <xf numFmtId="0" fontId="18" fillId="2" borderId="0" xfId="4" applyFont="1" applyFill="1"/>
    <xf numFmtId="0" fontId="22" fillId="2" borderId="0" xfId="0" applyFont="1" applyFill="1"/>
    <xf numFmtId="166" fontId="22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0" fontId="22" fillId="2" borderId="1" xfId="0" applyFont="1" applyFill="1" applyBorder="1"/>
    <xf numFmtId="0" fontId="22" fillId="2" borderId="1" xfId="0" applyFont="1" applyFill="1" applyBorder="1" applyAlignment="1">
      <alignment wrapText="1"/>
    </xf>
    <xf numFmtId="0" fontId="22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wrapText="1"/>
    </xf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/>
    <xf numFmtId="0" fontId="18" fillId="2" borderId="4" xfId="4" applyFont="1" applyFill="1" applyBorder="1" applyAlignment="1">
      <alignment horizontal="center"/>
    </xf>
    <xf numFmtId="0" fontId="18" fillId="2" borderId="1" xfId="4" applyFont="1" applyFill="1" applyBorder="1" applyAlignment="1">
      <alignment wrapText="1"/>
    </xf>
    <xf numFmtId="166" fontId="24" fillId="2" borderId="1" xfId="4" applyNumberFormat="1" applyFont="1" applyFill="1" applyBorder="1" applyAlignment="1">
      <alignment horizontal="left"/>
    </xf>
    <xf numFmtId="14" fontId="20" fillId="2" borderId="1" xfId="4" applyNumberFormat="1" applyFont="1" applyFill="1" applyBorder="1" applyAlignment="1">
      <alignment horizontal="center"/>
    </xf>
    <xf numFmtId="0" fontId="24" fillId="2" borderId="1" xfId="4" applyFont="1" applyFill="1" applyBorder="1" applyAlignment="1">
      <alignment horizontal="center"/>
    </xf>
    <xf numFmtId="165" fontId="24" fillId="2" borderId="1" xfId="1" applyNumberFormat="1" applyFont="1" applyFill="1" applyBorder="1" applyAlignment="1"/>
    <xf numFmtId="0" fontId="19" fillId="2" borderId="1" xfId="4" applyFont="1" applyFill="1" applyBorder="1" applyAlignment="1">
      <alignment horizontal="center" wrapText="1"/>
    </xf>
    <xf numFmtId="164" fontId="24" fillId="2" borderId="2" xfId="4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3" xfId="4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 wrapText="1"/>
    </xf>
    <xf numFmtId="0" fontId="18" fillId="2" borderId="1" xfId="4" applyFont="1" applyFill="1" applyBorder="1"/>
    <xf numFmtId="166" fontId="19" fillId="2" borderId="1" xfId="4" applyNumberFormat="1" applyFont="1" applyFill="1" applyBorder="1" applyAlignment="1">
      <alignment horizontal="center"/>
    </xf>
    <xf numFmtId="18" fontId="19" fillId="2" borderId="1" xfId="4" applyNumberFormat="1" applyFont="1" applyFill="1" applyBorder="1" applyAlignment="1">
      <alignment horizontal="center"/>
    </xf>
    <xf numFmtId="165" fontId="19" fillId="2" borderId="1" xfId="1" applyNumberFormat="1" applyFont="1" applyFill="1" applyBorder="1" applyAlignment="1"/>
    <xf numFmtId="0" fontId="19" fillId="2" borderId="2" xfId="4" applyFont="1" applyFill="1" applyBorder="1" applyAlignment="1">
      <alignment horizontal="center"/>
    </xf>
    <xf numFmtId="166" fontId="20" fillId="2" borderId="3" xfId="4" applyNumberFormat="1" applyFont="1" applyFill="1" applyBorder="1" applyAlignment="1">
      <alignment horizontal="center"/>
    </xf>
    <xf numFmtId="18" fontId="20" fillId="2" borderId="1" xfId="4" applyNumberFormat="1" applyFont="1" applyFill="1" applyBorder="1" applyAlignment="1">
      <alignment horizontal="center" vertical="center"/>
    </xf>
    <xf numFmtId="166" fontId="20" fillId="2" borderId="3" xfId="5" applyNumberFormat="1" applyFont="1" applyFill="1" applyBorder="1"/>
    <xf numFmtId="0" fontId="20" fillId="2" borderId="1" xfId="5" applyFont="1" applyFill="1" applyBorder="1" applyAlignment="1">
      <alignment horizontal="center"/>
    </xf>
    <xf numFmtId="166" fontId="18" fillId="2" borderId="1" xfId="5" applyNumberFormat="1" applyFont="1" applyFill="1" applyBorder="1"/>
    <xf numFmtId="18" fontId="20" fillId="2" borderId="1" xfId="5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165" fontId="18" fillId="2" borderId="1" xfId="1" applyNumberFormat="1" applyFont="1" applyFill="1" applyBorder="1" applyAlignment="1"/>
    <xf numFmtId="0" fontId="18" fillId="2" borderId="1" xfId="4" applyFont="1" applyFill="1" applyBorder="1" applyAlignment="1">
      <alignment horizontal="left" wrapText="1"/>
    </xf>
    <xf numFmtId="20" fontId="19" fillId="2" borderId="1" xfId="5" applyNumberFormat="1" applyFont="1" applyFill="1" applyBorder="1" applyAlignment="1">
      <alignment horizontal="center"/>
    </xf>
    <xf numFmtId="166" fontId="18" fillId="2" borderId="1" xfId="4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left" vertical="center" wrapText="1"/>
    </xf>
    <xf numFmtId="0" fontId="20" fillId="2" borderId="1" xfId="4" applyFont="1" applyFill="1" applyBorder="1" applyAlignment="1">
      <alignment horizontal="center" wrapText="1"/>
    </xf>
    <xf numFmtId="0" fontId="22" fillId="0" borderId="1" xfId="0" applyFont="1" applyBorder="1" applyAlignment="1">
      <alignment vertical="center"/>
    </xf>
    <xf numFmtId="166" fontId="22" fillId="5" borderId="0" xfId="0" applyNumberFormat="1" applyFont="1" applyFill="1"/>
    <xf numFmtId="18" fontId="19" fillId="5" borderId="1" xfId="4" applyNumberFormat="1" applyFont="1" applyFill="1" applyBorder="1" applyAlignment="1">
      <alignment horizontal="center"/>
    </xf>
    <xf numFmtId="0" fontId="18" fillId="5" borderId="1" xfId="4" applyFont="1" applyFill="1" applyBorder="1" applyAlignment="1">
      <alignment horizontal="center"/>
    </xf>
    <xf numFmtId="165" fontId="20" fillId="5" borderId="1" xfId="1" applyNumberFormat="1" applyFont="1" applyFill="1" applyBorder="1" applyAlignment="1"/>
    <xf numFmtId="0" fontId="19" fillId="5" borderId="1" xfId="4" applyFont="1" applyFill="1" applyBorder="1" applyAlignment="1">
      <alignment wrapText="1"/>
    </xf>
    <xf numFmtId="0" fontId="19" fillId="5" borderId="2" xfId="4" applyFont="1" applyFill="1" applyBorder="1" applyAlignment="1">
      <alignment horizontal="center"/>
    </xf>
    <xf numFmtId="0" fontId="19" fillId="5" borderId="1" xfId="4" applyFont="1" applyFill="1" applyBorder="1" applyAlignment="1">
      <alignment horizontal="center"/>
    </xf>
    <xf numFmtId="0" fontId="19" fillId="5" borderId="3" xfId="4" applyFont="1" applyFill="1" applyBorder="1" applyAlignment="1">
      <alignment horizontal="center"/>
    </xf>
    <xf numFmtId="0" fontId="18" fillId="5" borderId="1" xfId="4" applyFont="1" applyFill="1" applyBorder="1" applyAlignment="1">
      <alignment horizontal="center" wrapText="1"/>
    </xf>
    <xf numFmtId="165" fontId="20" fillId="2" borderId="1" xfId="1" applyNumberFormat="1" applyFont="1" applyFill="1" applyBorder="1" applyAlignment="1"/>
    <xf numFmtId="1" fontId="19" fillId="2" borderId="1" xfId="4" applyNumberFormat="1" applyFont="1" applyFill="1" applyBorder="1" applyAlignment="1">
      <alignment horizontal="center" wrapText="1"/>
    </xf>
    <xf numFmtId="166" fontId="18" fillId="5" borderId="1" xfId="4" applyNumberFormat="1" applyFont="1" applyFill="1" applyBorder="1" applyAlignment="1">
      <alignment horizontal="center"/>
    </xf>
    <xf numFmtId="165" fontId="18" fillId="5" borderId="1" xfId="1" applyNumberFormat="1" applyFont="1" applyFill="1" applyBorder="1" applyAlignment="1"/>
    <xf numFmtId="0" fontId="26" fillId="5" borderId="1" xfId="4" applyFont="1" applyFill="1" applyBorder="1" applyAlignment="1">
      <alignment horizontal="center" wrapText="1"/>
    </xf>
    <xf numFmtId="1" fontId="19" fillId="5" borderId="3" xfId="4" applyNumberFormat="1" applyFont="1" applyFill="1" applyBorder="1" applyAlignment="1">
      <alignment horizontal="center"/>
    </xf>
    <xf numFmtId="1" fontId="19" fillId="5" borderId="1" xfId="4" applyNumberFormat="1" applyFont="1" applyFill="1" applyBorder="1" applyAlignment="1">
      <alignment horizontal="center"/>
    </xf>
    <xf numFmtId="0" fontId="19" fillId="2" borderId="2" xfId="4" applyFont="1" applyFill="1" applyBorder="1" applyAlignment="1">
      <alignment horizontal="center" vertical="center"/>
    </xf>
    <xf numFmtId="1" fontId="19" fillId="2" borderId="3" xfId="4" applyNumberFormat="1" applyFont="1" applyFill="1" applyBorder="1" applyAlignment="1">
      <alignment horizontal="center"/>
    </xf>
    <xf numFmtId="1" fontId="19" fillId="2" borderId="1" xfId="4" applyNumberFormat="1" applyFont="1" applyFill="1" applyBorder="1" applyAlignment="1">
      <alignment horizontal="center"/>
    </xf>
    <xf numFmtId="0" fontId="27" fillId="2" borderId="1" xfId="4" applyFont="1" applyFill="1" applyBorder="1" applyAlignment="1">
      <alignment horizontal="center" wrapText="1"/>
    </xf>
    <xf numFmtId="166" fontId="18" fillId="2" borderId="1" xfId="4" applyNumberFormat="1" applyFont="1" applyFill="1" applyBorder="1" applyAlignment="1">
      <alignment horizontal="right"/>
    </xf>
    <xf numFmtId="166" fontId="18" fillId="5" borderId="1" xfId="4" applyNumberFormat="1" applyFont="1" applyFill="1" applyBorder="1" applyAlignment="1">
      <alignment horizontal="right"/>
    </xf>
    <xf numFmtId="0" fontId="18" fillId="5" borderId="1" xfId="4" applyFont="1" applyFill="1" applyBorder="1" applyAlignment="1">
      <alignment horizontal="left" vertical="center" wrapText="1"/>
    </xf>
    <xf numFmtId="0" fontId="22" fillId="2" borderId="1" xfId="4" applyFont="1" applyFill="1" applyBorder="1" applyAlignment="1">
      <alignment vertical="center" wrapText="1"/>
    </xf>
    <xf numFmtId="1" fontId="18" fillId="2" borderId="1" xfId="4" applyNumberFormat="1" applyFont="1" applyFill="1" applyBorder="1" applyAlignment="1">
      <alignment horizontal="center" wrapText="1"/>
    </xf>
    <xf numFmtId="0" fontId="19" fillId="5" borderId="1" xfId="4" applyFont="1" applyFill="1" applyBorder="1" applyAlignment="1">
      <alignment horizontal="center" wrapText="1"/>
    </xf>
    <xf numFmtId="0" fontId="22" fillId="5" borderId="1" xfId="0" applyFont="1" applyFill="1" applyBorder="1"/>
    <xf numFmtId="0" fontId="20" fillId="5" borderId="1" xfId="4" applyFont="1" applyFill="1" applyBorder="1" applyAlignment="1">
      <alignment horizontal="center" wrapText="1"/>
    </xf>
    <xf numFmtId="0" fontId="19" fillId="5" borderId="1" xfId="4" applyFont="1" applyFill="1" applyBorder="1" applyAlignment="1">
      <alignment horizontal="left" wrapText="1"/>
    </xf>
    <xf numFmtId="1" fontId="18" fillId="2" borderId="1" xfId="4" quotePrefix="1" applyNumberFormat="1" applyFont="1" applyFill="1" applyBorder="1" applyAlignment="1">
      <alignment horizontal="left" wrapText="1"/>
    </xf>
    <xf numFmtId="166" fontId="27" fillId="2" borderId="1" xfId="4" applyNumberFormat="1" applyFont="1" applyFill="1" applyBorder="1" applyAlignment="1">
      <alignment horizontal="right"/>
    </xf>
    <xf numFmtId="1" fontId="19" fillId="5" borderId="1" xfId="4" quotePrefix="1" applyNumberFormat="1" applyFont="1" applyFill="1" applyBorder="1" applyAlignment="1">
      <alignment horizontal="left" wrapText="1"/>
    </xf>
    <xf numFmtId="1" fontId="19" fillId="2" borderId="1" xfId="4" quotePrefix="1" applyNumberFormat="1" applyFont="1" applyFill="1" applyBorder="1" applyAlignment="1">
      <alignment horizontal="left" wrapText="1"/>
    </xf>
    <xf numFmtId="0" fontId="20" fillId="2" borderId="1" xfId="4" applyFont="1" applyFill="1" applyBorder="1" applyAlignment="1">
      <alignment horizontal="center"/>
    </xf>
    <xf numFmtId="0" fontId="20" fillId="2" borderId="1" xfId="0" applyFont="1" applyFill="1" applyBorder="1" applyAlignment="1">
      <alignment vertical="center"/>
    </xf>
    <xf numFmtId="0" fontId="28" fillId="2" borderId="1" xfId="0" applyFont="1" applyFill="1" applyBorder="1"/>
    <xf numFmtId="0" fontId="18" fillId="2" borderId="1" xfId="4" applyFont="1" applyFill="1" applyBorder="1" applyAlignment="1">
      <alignment vertical="center" wrapText="1"/>
    </xf>
    <xf numFmtId="1" fontId="18" fillId="2" borderId="1" xfId="4" applyNumberFormat="1" applyFont="1" applyFill="1" applyBorder="1" applyAlignment="1">
      <alignment horizontal="center" vertical="top" wrapText="1"/>
    </xf>
    <xf numFmtId="166" fontId="18" fillId="7" borderId="1" xfId="4" applyNumberFormat="1" applyFont="1" applyFill="1" applyBorder="1" applyAlignment="1">
      <alignment horizontal="right"/>
    </xf>
    <xf numFmtId="165" fontId="18" fillId="7" borderId="1" xfId="1" applyNumberFormat="1" applyFont="1" applyFill="1" applyBorder="1" applyAlignment="1"/>
    <xf numFmtId="0" fontId="19" fillId="7" borderId="2" xfId="4" applyFont="1" applyFill="1" applyBorder="1" applyAlignment="1">
      <alignment horizontal="center"/>
    </xf>
    <xf numFmtId="0" fontId="22" fillId="7" borderId="1" xfId="0" applyFont="1" applyFill="1" applyBorder="1"/>
    <xf numFmtId="0" fontId="19" fillId="7" borderId="3" xfId="4" applyFont="1" applyFill="1" applyBorder="1" applyAlignment="1">
      <alignment horizontal="center"/>
    </xf>
    <xf numFmtId="0" fontId="18" fillId="7" borderId="1" xfId="4" applyFont="1" applyFill="1" applyBorder="1" applyAlignment="1">
      <alignment horizontal="center" wrapText="1"/>
    </xf>
    <xf numFmtId="0" fontId="18" fillId="7" borderId="1" xfId="4" applyFont="1" applyFill="1" applyBorder="1" applyAlignment="1">
      <alignment horizontal="left" wrapText="1"/>
    </xf>
    <xf numFmtId="0" fontId="19" fillId="7" borderId="1" xfId="4" applyFont="1" applyFill="1" applyBorder="1" applyAlignment="1">
      <alignment horizontal="center"/>
    </xf>
    <xf numFmtId="1" fontId="21" fillId="5" borderId="2" xfId="4" applyNumberFormat="1" applyFont="1" applyFill="1" applyBorder="1" applyAlignment="1">
      <alignment horizontal="center"/>
    </xf>
    <xf numFmtId="1" fontId="19" fillId="5" borderId="1" xfId="4" applyNumberFormat="1" applyFont="1" applyFill="1" applyBorder="1" applyAlignment="1">
      <alignment horizontal="center" wrapText="1"/>
    </xf>
    <xf numFmtId="166" fontId="18" fillId="6" borderId="1" xfId="4" applyNumberFormat="1" applyFont="1" applyFill="1" applyBorder="1" applyAlignment="1">
      <alignment horizontal="center"/>
    </xf>
    <xf numFmtId="18" fontId="19" fillId="6" borderId="1" xfId="4" applyNumberFormat="1" applyFont="1" applyFill="1" applyBorder="1" applyAlignment="1">
      <alignment horizontal="center"/>
    </xf>
    <xf numFmtId="0" fontId="18" fillId="6" borderId="1" xfId="4" applyFont="1" applyFill="1" applyBorder="1" applyAlignment="1">
      <alignment horizontal="center"/>
    </xf>
    <xf numFmtId="165" fontId="18" fillId="6" borderId="1" xfId="1" applyNumberFormat="1" applyFont="1" applyFill="1" applyBorder="1" applyAlignment="1"/>
    <xf numFmtId="0" fontId="19" fillId="6" borderId="1" xfId="4" applyFont="1" applyFill="1" applyBorder="1" applyAlignment="1">
      <alignment horizontal="left" wrapText="1"/>
    </xf>
    <xf numFmtId="1" fontId="21" fillId="6" borderId="2" xfId="4" applyNumberFormat="1" applyFont="1" applyFill="1" applyBorder="1" applyAlignment="1">
      <alignment horizontal="center"/>
    </xf>
    <xf numFmtId="0" fontId="19" fillId="6" borderId="1" xfId="4" applyFont="1" applyFill="1" applyBorder="1" applyAlignment="1">
      <alignment horizontal="center"/>
    </xf>
    <xf numFmtId="1" fontId="19" fillId="6" borderId="3" xfId="4" applyNumberFormat="1" applyFont="1" applyFill="1" applyBorder="1" applyAlignment="1">
      <alignment horizontal="center"/>
    </xf>
    <xf numFmtId="1" fontId="19" fillId="6" borderId="1" xfId="4" applyNumberFormat="1" applyFont="1" applyFill="1" applyBorder="1" applyAlignment="1">
      <alignment horizontal="center"/>
    </xf>
    <xf numFmtId="1" fontId="19" fillId="6" borderId="1" xfId="4" applyNumberFormat="1" applyFont="1" applyFill="1" applyBorder="1" applyAlignment="1">
      <alignment horizontal="center" wrapText="1"/>
    </xf>
    <xf numFmtId="0" fontId="18" fillId="6" borderId="1" xfId="4" applyFont="1" applyFill="1" applyBorder="1" applyAlignment="1">
      <alignment horizontal="left" wrapText="1"/>
    </xf>
    <xf numFmtId="1" fontId="21" fillId="2" borderId="2" xfId="4" applyNumberFormat="1" applyFont="1" applyFill="1" applyBorder="1" applyAlignment="1">
      <alignment horizontal="center"/>
    </xf>
    <xf numFmtId="0" fontId="29" fillId="2" borderId="1" xfId="4" applyFont="1" applyFill="1" applyBorder="1" applyAlignment="1">
      <alignment horizontal="left" wrapText="1"/>
    </xf>
    <xf numFmtId="1" fontId="20" fillId="2" borderId="1" xfId="4" applyNumberFormat="1" applyFont="1" applyFill="1" applyBorder="1" applyAlignment="1">
      <alignment horizontal="center" wrapText="1"/>
    </xf>
    <xf numFmtId="18" fontId="19" fillId="2" borderId="1" xfId="5" applyNumberFormat="1" applyFont="1" applyFill="1" applyBorder="1" applyAlignment="1">
      <alignment horizontal="center"/>
    </xf>
    <xf numFmtId="1" fontId="19" fillId="2" borderId="2" xfId="4" applyNumberFormat="1" applyFont="1" applyFill="1" applyBorder="1" applyAlignment="1">
      <alignment horizontal="center"/>
    </xf>
    <xf numFmtId="166" fontId="18" fillId="2" borderId="4" xfId="4" applyNumberFormat="1" applyFont="1" applyFill="1" applyBorder="1" applyAlignment="1">
      <alignment horizontal="center"/>
    </xf>
    <xf numFmtId="18" fontId="19" fillId="2" borderId="4" xfId="4" applyNumberFormat="1" applyFont="1" applyFill="1" applyBorder="1" applyAlignment="1">
      <alignment horizontal="center"/>
    </xf>
    <xf numFmtId="165" fontId="18" fillId="2" borderId="4" xfId="1" applyNumberFormat="1" applyFont="1" applyFill="1" applyBorder="1" applyAlignment="1"/>
    <xf numFmtId="0" fontId="18" fillId="2" borderId="4" xfId="4" applyFont="1" applyFill="1" applyBorder="1" applyAlignment="1">
      <alignment wrapText="1"/>
    </xf>
    <xf numFmtId="1" fontId="19" fillId="2" borderId="5" xfId="4" applyNumberFormat="1" applyFont="1" applyFill="1" applyBorder="1" applyAlignment="1">
      <alignment horizontal="center"/>
    </xf>
    <xf numFmtId="0" fontId="22" fillId="2" borderId="4" xfId="0" applyFont="1" applyFill="1" applyBorder="1"/>
    <xf numFmtId="1" fontId="19" fillId="2" borderId="4" xfId="4" applyNumberFormat="1" applyFont="1" applyFill="1" applyBorder="1" applyAlignment="1">
      <alignment horizontal="center"/>
    </xf>
    <xf numFmtId="1" fontId="20" fillId="2" borderId="4" xfId="4" applyNumberFormat="1" applyFont="1" applyFill="1" applyBorder="1" applyAlignment="1">
      <alignment horizontal="center" wrapText="1"/>
    </xf>
    <xf numFmtId="0" fontId="18" fillId="0" borderId="1" xfId="0" applyFont="1" applyBorder="1"/>
    <xf numFmtId="166" fontId="22" fillId="2" borderId="0" xfId="0" applyNumberFormat="1" applyFont="1" applyFill="1"/>
    <xf numFmtId="0" fontId="19" fillId="2" borderId="0" xfId="0" applyFont="1" applyFill="1" applyAlignment="1">
      <alignment horizontal="center"/>
    </xf>
    <xf numFmtId="0" fontId="22" fillId="2" borderId="0" xfId="0" applyFont="1" applyFill="1" applyAlignment="1">
      <alignment wrapText="1"/>
    </xf>
    <xf numFmtId="0" fontId="30" fillId="2" borderId="1" xfId="4" applyFont="1" applyFill="1" applyBorder="1" applyAlignment="1">
      <alignment horizontal="left" wrapText="1"/>
    </xf>
    <xf numFmtId="0" fontId="23" fillId="2" borderId="1" xfId="4" applyFont="1" applyFill="1" applyBorder="1" applyAlignment="1">
      <alignment vertical="center" wrapText="1"/>
    </xf>
    <xf numFmtId="166" fontId="18" fillId="8" borderId="1" xfId="4" applyNumberFormat="1" applyFont="1" applyFill="1" applyBorder="1" applyAlignment="1">
      <alignment horizontal="right"/>
    </xf>
    <xf numFmtId="18" fontId="19" fillId="8" borderId="1" xfId="4" applyNumberFormat="1" applyFont="1" applyFill="1" applyBorder="1" applyAlignment="1">
      <alignment horizontal="center"/>
    </xf>
    <xf numFmtId="0" fontId="18" fillId="8" borderId="1" xfId="4" applyFont="1" applyFill="1" applyBorder="1" applyAlignment="1">
      <alignment horizontal="center"/>
    </xf>
    <xf numFmtId="165" fontId="18" fillId="8" borderId="1" xfId="1" applyNumberFormat="1" applyFont="1" applyFill="1" applyBorder="1" applyAlignment="1"/>
    <xf numFmtId="0" fontId="19" fillId="8" borderId="1" xfId="4" applyFont="1" applyFill="1" applyBorder="1" applyAlignment="1">
      <alignment horizontal="left" wrapText="1"/>
    </xf>
    <xf numFmtId="0" fontId="19" fillId="8" borderId="2" xfId="4" applyFont="1" applyFill="1" applyBorder="1" applyAlignment="1">
      <alignment horizontal="center"/>
    </xf>
    <xf numFmtId="0" fontId="22" fillId="8" borderId="1" xfId="0" applyFont="1" applyFill="1" applyBorder="1"/>
    <xf numFmtId="0" fontId="19" fillId="8" borderId="3" xfId="4" applyFont="1" applyFill="1" applyBorder="1" applyAlignment="1">
      <alignment horizontal="center"/>
    </xf>
    <xf numFmtId="1" fontId="19" fillId="8" borderId="1" xfId="4" applyNumberFormat="1" applyFont="1" applyFill="1" applyBorder="1" applyAlignment="1">
      <alignment horizontal="center"/>
    </xf>
    <xf numFmtId="0" fontId="29" fillId="2" borderId="1" xfId="4" applyFont="1" applyFill="1" applyBorder="1" applyAlignment="1">
      <alignment horizontal="center" wrapText="1"/>
    </xf>
    <xf numFmtId="0" fontId="18" fillId="7" borderId="0" xfId="4" applyFont="1" applyFill="1"/>
    <xf numFmtId="0" fontId="22" fillId="7" borderId="0" xfId="0" applyFont="1" applyFill="1"/>
    <xf numFmtId="0" fontId="20" fillId="7" borderId="1" xfId="4" applyFont="1" applyFill="1" applyBorder="1" applyAlignment="1">
      <alignment horizontal="left" wrapText="1"/>
    </xf>
    <xf numFmtId="166" fontId="18" fillId="9" borderId="1" xfId="4" applyNumberFormat="1" applyFont="1" applyFill="1" applyBorder="1" applyAlignment="1">
      <alignment horizontal="center"/>
    </xf>
    <xf numFmtId="18" fontId="19" fillId="9" borderId="1" xfId="4" applyNumberFormat="1" applyFont="1" applyFill="1" applyBorder="1" applyAlignment="1">
      <alignment horizontal="center"/>
    </xf>
    <xf numFmtId="0" fontId="20" fillId="9" borderId="1" xfId="4" applyFont="1" applyFill="1" applyBorder="1" applyAlignment="1">
      <alignment horizontal="center" wrapText="1"/>
    </xf>
    <xf numFmtId="165" fontId="18" fillId="9" borderId="1" xfId="1" applyNumberFormat="1" applyFont="1" applyFill="1" applyBorder="1" applyAlignment="1"/>
    <xf numFmtId="0" fontId="18" fillId="9" borderId="1" xfId="4" applyFont="1" applyFill="1" applyBorder="1" applyAlignment="1">
      <alignment horizontal="left" wrapText="1"/>
    </xf>
    <xf numFmtId="1" fontId="21" fillId="9" borderId="2" xfId="4" applyNumberFormat="1" applyFont="1" applyFill="1" applyBorder="1" applyAlignment="1">
      <alignment horizontal="center"/>
    </xf>
    <xf numFmtId="1" fontId="19" fillId="9" borderId="1" xfId="4" applyNumberFormat="1" applyFont="1" applyFill="1" applyBorder="1" applyAlignment="1">
      <alignment horizontal="center"/>
    </xf>
    <xf numFmtId="1" fontId="19" fillId="9" borderId="1" xfId="4" applyNumberFormat="1" applyFont="1" applyFill="1" applyBorder="1" applyAlignment="1">
      <alignment horizontal="center" wrapText="1"/>
    </xf>
    <xf numFmtId="0" fontId="18" fillId="9" borderId="0" xfId="4" applyFont="1" applyFill="1"/>
    <xf numFmtId="0" fontId="22" fillId="9" borderId="0" xfId="0" applyFont="1" applyFill="1"/>
    <xf numFmtId="0" fontId="19" fillId="8" borderId="1" xfId="4" applyFont="1" applyFill="1" applyBorder="1" applyAlignment="1">
      <alignment horizontal="center"/>
    </xf>
    <xf numFmtId="0" fontId="17" fillId="8" borderId="6" xfId="4" applyFont="1" applyFill="1" applyBorder="1" applyAlignment="1">
      <alignment horizontal="center" wrapText="1"/>
    </xf>
    <xf numFmtId="0" fontId="23" fillId="8" borderId="1" xfId="0" applyFont="1" applyFill="1" applyBorder="1"/>
    <xf numFmtId="0" fontId="19" fillId="8" borderId="1" xfId="0" applyFont="1" applyFill="1" applyBorder="1"/>
    <xf numFmtId="20" fontId="22" fillId="2" borderId="1" xfId="0" applyNumberFormat="1" applyFont="1" applyFill="1" applyBorder="1" applyAlignment="1">
      <alignment horizontal="center"/>
    </xf>
    <xf numFmtId="0" fontId="31" fillId="3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7" fillId="2" borderId="0" xfId="0" applyFont="1" applyFill="1"/>
    <xf numFmtId="0" fontId="32" fillId="2" borderId="0" xfId="0" applyFont="1" applyFill="1"/>
    <xf numFmtId="0" fontId="33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/>
    <xf numFmtId="0" fontId="37" fillId="2" borderId="1" xfId="6" applyFont="1" applyFill="1" applyBorder="1" applyAlignment="1">
      <alignment horizontal="left" wrapText="1"/>
    </xf>
    <xf numFmtId="0" fontId="19" fillId="9" borderId="1" xfId="0" applyFont="1" applyFill="1" applyBorder="1" applyAlignment="1">
      <alignment horizontal="center"/>
    </xf>
    <xf numFmtId="0" fontId="39" fillId="0" borderId="0" xfId="0" applyFont="1" applyAlignment="1">
      <alignment vertical="center"/>
    </xf>
    <xf numFmtId="0" fontId="41" fillId="2" borderId="1" xfId="4" applyFont="1" applyFill="1" applyBorder="1" applyAlignment="1">
      <alignment horizontal="center" wrapText="1"/>
    </xf>
    <xf numFmtId="166" fontId="18" fillId="10" borderId="1" xfId="4" applyNumberFormat="1" applyFont="1" applyFill="1" applyBorder="1" applyAlignment="1">
      <alignment horizontal="center"/>
    </xf>
    <xf numFmtId="18" fontId="19" fillId="10" borderId="1" xfId="4" applyNumberFormat="1" applyFont="1" applyFill="1" applyBorder="1" applyAlignment="1">
      <alignment horizontal="center"/>
    </xf>
    <xf numFmtId="0" fontId="18" fillId="10" borderId="1" xfId="4" applyFont="1" applyFill="1" applyBorder="1" applyAlignment="1">
      <alignment horizontal="center"/>
    </xf>
    <xf numFmtId="165" fontId="20" fillId="10" borderId="1" xfId="1" applyNumberFormat="1" applyFont="1" applyFill="1" applyBorder="1" applyAlignment="1"/>
    <xf numFmtId="0" fontId="20" fillId="10" borderId="1" xfId="4" applyFont="1" applyFill="1" applyBorder="1" applyAlignment="1">
      <alignment wrapText="1"/>
    </xf>
    <xf numFmtId="0" fontId="19" fillId="10" borderId="2" xfId="4" applyFont="1" applyFill="1" applyBorder="1" applyAlignment="1">
      <alignment horizontal="center"/>
    </xf>
    <xf numFmtId="0" fontId="19" fillId="10" borderId="1" xfId="4" applyFont="1" applyFill="1" applyBorder="1" applyAlignment="1">
      <alignment horizontal="center"/>
    </xf>
    <xf numFmtId="0" fontId="19" fillId="10" borderId="3" xfId="4" applyFont="1" applyFill="1" applyBorder="1" applyAlignment="1">
      <alignment horizontal="center"/>
    </xf>
    <xf numFmtId="1" fontId="19" fillId="10" borderId="1" xfId="4" applyNumberFormat="1" applyFont="1" applyFill="1" applyBorder="1" applyAlignment="1">
      <alignment horizontal="center" wrapText="1"/>
    </xf>
    <xf numFmtId="0" fontId="18" fillId="10" borderId="1" xfId="4" applyFont="1" applyFill="1" applyBorder="1" applyAlignment="1">
      <alignment wrapText="1"/>
    </xf>
    <xf numFmtId="166" fontId="18" fillId="11" borderId="1" xfId="4" applyNumberFormat="1" applyFont="1" applyFill="1" applyBorder="1" applyAlignment="1">
      <alignment horizontal="center"/>
    </xf>
    <xf numFmtId="18" fontId="19" fillId="11" borderId="1" xfId="4" applyNumberFormat="1" applyFont="1" applyFill="1" applyBorder="1" applyAlignment="1">
      <alignment horizontal="center"/>
    </xf>
    <xf numFmtId="0" fontId="18" fillId="11" borderId="1" xfId="4" applyFont="1" applyFill="1" applyBorder="1" applyAlignment="1">
      <alignment horizontal="center"/>
    </xf>
    <xf numFmtId="165" fontId="20" fillId="11" borderId="1" xfId="1" applyNumberFormat="1" applyFont="1" applyFill="1" applyBorder="1" applyAlignment="1"/>
    <xf numFmtId="0" fontId="29" fillId="11" borderId="1" xfId="4" applyFont="1" applyFill="1" applyBorder="1" applyAlignment="1">
      <alignment wrapText="1"/>
    </xf>
    <xf numFmtId="0" fontId="19" fillId="11" borderId="2" xfId="4" applyFont="1" applyFill="1" applyBorder="1" applyAlignment="1">
      <alignment horizontal="center"/>
    </xf>
    <xf numFmtId="0" fontId="19" fillId="11" borderId="1" xfId="4" applyFont="1" applyFill="1" applyBorder="1" applyAlignment="1">
      <alignment horizontal="center"/>
    </xf>
    <xf numFmtId="0" fontId="19" fillId="11" borderId="3" xfId="4" applyFont="1" applyFill="1" applyBorder="1" applyAlignment="1">
      <alignment horizontal="center"/>
    </xf>
    <xf numFmtId="1" fontId="19" fillId="11" borderId="1" xfId="4" applyNumberFormat="1" applyFont="1" applyFill="1" applyBorder="1" applyAlignment="1">
      <alignment horizontal="center" wrapText="1"/>
    </xf>
    <xf numFmtId="0" fontId="18" fillId="11" borderId="1" xfId="4" applyFont="1" applyFill="1" applyBorder="1" applyAlignment="1">
      <alignment wrapText="1"/>
    </xf>
    <xf numFmtId="0" fontId="20" fillId="10" borderId="1" xfId="4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0" fontId="42" fillId="2" borderId="1" xfId="0" applyFont="1" applyFill="1" applyBorder="1" applyAlignment="1">
      <alignment vertical="center"/>
    </xf>
    <xf numFmtId="1" fontId="20" fillId="7" borderId="1" xfId="4" applyNumberFormat="1" applyFont="1" applyFill="1" applyBorder="1" applyAlignment="1">
      <alignment horizontal="center" wrapText="1"/>
    </xf>
    <xf numFmtId="20" fontId="19" fillId="2" borderId="1" xfId="0" applyNumberFormat="1" applyFont="1" applyFill="1" applyBorder="1" applyAlignment="1">
      <alignment horizontal="center"/>
    </xf>
    <xf numFmtId="0" fontId="43" fillId="2" borderId="1" xfId="0" applyFont="1" applyFill="1" applyBorder="1"/>
    <xf numFmtId="0" fontId="44" fillId="0" borderId="0" xfId="0" applyFont="1" applyAlignment="1">
      <alignment vertical="center"/>
    </xf>
  </cellXfs>
  <cellStyles count="7">
    <cellStyle name="Comma" xfId="1" builtinId="3"/>
    <cellStyle name="Comma 2" xfId="3" xr:uid="{00000000-0005-0000-0000-000001000000}"/>
    <cellStyle name="Hyperlink" xfId="6" builtinId="8"/>
    <cellStyle name="Normal" xfId="0" builtinId="0"/>
    <cellStyle name="Normal 2" xfId="2" xr:uid="{00000000-0005-0000-0000-000003000000}"/>
    <cellStyle name="Normal_Sheet1" xfId="4" xr:uid="{00000000-0005-0000-0000-000004000000}"/>
    <cellStyle name="Normal_Sheet1_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46</xdr:row>
      <xdr:rowOff>476250</xdr:rowOff>
    </xdr:from>
    <xdr:to>
      <xdr:col>4</xdr:col>
      <xdr:colOff>7504800</xdr:colOff>
      <xdr:row>46</xdr:row>
      <xdr:rowOff>800060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16935450"/>
          <a:ext cx="7200000" cy="3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762001</xdr:colOff>
      <xdr:row>15</xdr:row>
      <xdr:rowOff>35720</xdr:rowOff>
    </xdr:from>
    <xdr:to>
      <xdr:col>4</xdr:col>
      <xdr:colOff>6343333</xdr:colOff>
      <xdr:row>15</xdr:row>
      <xdr:rowOff>2074586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6376" y="5822158"/>
          <a:ext cx="5595937" cy="2047121"/>
        </a:xfrm>
        <a:prstGeom prst="rect">
          <a:avLst/>
        </a:prstGeom>
      </xdr:spPr>
    </xdr:pic>
    <xdr:clientData/>
  </xdr:twoCellAnchor>
  <xdr:twoCellAnchor editAs="oneCell">
    <xdr:from>
      <xdr:col>4</xdr:col>
      <xdr:colOff>143580</xdr:colOff>
      <xdr:row>49</xdr:row>
      <xdr:rowOff>122049</xdr:rowOff>
    </xdr:from>
    <xdr:to>
      <xdr:col>4</xdr:col>
      <xdr:colOff>8324285</xdr:colOff>
      <xdr:row>49</xdr:row>
      <xdr:rowOff>1198669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79080" y="53906549"/>
          <a:ext cx="8192135" cy="1088050"/>
        </a:xfrm>
        <a:prstGeom prst="rect">
          <a:avLst/>
        </a:prstGeom>
      </xdr:spPr>
    </xdr:pic>
    <xdr:clientData/>
  </xdr:twoCellAnchor>
  <xdr:twoCellAnchor editAs="oneCell">
    <xdr:from>
      <xdr:col>4</xdr:col>
      <xdr:colOff>3038475</xdr:colOff>
      <xdr:row>115</xdr:row>
      <xdr:rowOff>279400</xdr:rowOff>
    </xdr:from>
    <xdr:to>
      <xdr:col>4</xdr:col>
      <xdr:colOff>8552180</xdr:colOff>
      <xdr:row>115</xdr:row>
      <xdr:rowOff>2021054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24725" y="111198025"/>
          <a:ext cx="5518150" cy="1741654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125731</xdr:colOff>
      <xdr:row>36</xdr:row>
      <xdr:rowOff>84455</xdr:rowOff>
    </xdr:from>
    <xdr:to>
      <xdr:col>5</xdr:col>
      <xdr:colOff>3175</xdr:colOff>
      <xdr:row>36</xdr:row>
      <xdr:rowOff>2230755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9E38D77-BEF9-4D1C-AB05-3A41AB5CB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1231" y="28675330"/>
          <a:ext cx="10002519" cy="214630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91441</xdr:colOff>
      <xdr:row>37</xdr:row>
      <xdr:rowOff>2</xdr:rowOff>
    </xdr:from>
    <xdr:to>
      <xdr:col>4</xdr:col>
      <xdr:colOff>9931400</xdr:colOff>
      <xdr:row>37</xdr:row>
      <xdr:rowOff>2115186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19DC778-0EC8-4073-B6A5-EF8B4073C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26941" y="31099127"/>
          <a:ext cx="10020934" cy="2115184"/>
        </a:xfrm>
        <a:prstGeom prst="rect">
          <a:avLst/>
        </a:prstGeom>
      </xdr:spPr>
    </xdr:pic>
    <xdr:clientData/>
  </xdr:twoCellAnchor>
  <xdr:twoCellAnchor editAs="oneCell">
    <xdr:from>
      <xdr:col>4</xdr:col>
      <xdr:colOff>111125</xdr:colOff>
      <xdr:row>38</xdr:row>
      <xdr:rowOff>26670</xdr:rowOff>
    </xdr:from>
    <xdr:to>
      <xdr:col>5</xdr:col>
      <xdr:colOff>3175</xdr:colOff>
      <xdr:row>38</xdr:row>
      <xdr:rowOff>2667000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7B4B53B-F196-4266-8EA5-56260BB48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46625" y="33634045"/>
          <a:ext cx="10017125" cy="2640330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</xdr:colOff>
      <xdr:row>35</xdr:row>
      <xdr:rowOff>53340</xdr:rowOff>
    </xdr:from>
    <xdr:to>
      <xdr:col>5</xdr:col>
      <xdr:colOff>3175</xdr:colOff>
      <xdr:row>35</xdr:row>
      <xdr:rowOff>2155190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9B029EB-C3FE-4F09-A01D-E2099ECE6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3440" y="26342340"/>
          <a:ext cx="10048875" cy="2105660"/>
        </a:xfrm>
        <a:prstGeom prst="rect">
          <a:avLst/>
        </a:prstGeom>
      </xdr:spPr>
    </xdr:pic>
    <xdr:clientData/>
  </xdr:twoCellAnchor>
  <xdr:twoCellAnchor editAs="oneCell">
    <xdr:from>
      <xdr:col>4</xdr:col>
      <xdr:colOff>79375</xdr:colOff>
      <xdr:row>40</xdr:row>
      <xdr:rowOff>91440</xdr:rowOff>
    </xdr:from>
    <xdr:to>
      <xdr:col>4</xdr:col>
      <xdr:colOff>9931400</xdr:colOff>
      <xdr:row>40</xdr:row>
      <xdr:rowOff>2721734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93CA5ED-CF86-4A4F-B651-97C27E2F7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14875" y="37365940"/>
          <a:ext cx="10033000" cy="2630294"/>
        </a:xfrm>
        <a:prstGeom prst="rect">
          <a:avLst/>
        </a:prstGeom>
      </xdr:spPr>
    </xdr:pic>
    <xdr:clientData/>
  </xdr:twoCellAnchor>
  <xdr:twoCellAnchor editAs="oneCell">
    <xdr:from>
      <xdr:col>4</xdr:col>
      <xdr:colOff>269874</xdr:colOff>
      <xdr:row>41</xdr:row>
      <xdr:rowOff>140970</xdr:rowOff>
    </xdr:from>
    <xdr:to>
      <xdr:col>4</xdr:col>
      <xdr:colOff>9934574</xdr:colOff>
      <xdr:row>41</xdr:row>
      <xdr:rowOff>2860406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7BEA5D3-51F2-4EC5-8CD5-F82352FC8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05374" y="40399970"/>
          <a:ext cx="9826625" cy="2719436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</xdr:colOff>
      <xdr:row>28</xdr:row>
      <xdr:rowOff>130175</xdr:rowOff>
    </xdr:from>
    <xdr:to>
      <xdr:col>4</xdr:col>
      <xdr:colOff>4817488</xdr:colOff>
      <xdr:row>28</xdr:row>
      <xdr:rowOff>1447801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536094-F8B2-48BA-AD9D-C8A3F9501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14240" y="19904075"/>
          <a:ext cx="4793358" cy="1317626"/>
        </a:xfrm>
        <a:prstGeom prst="rect">
          <a:avLst/>
        </a:prstGeom>
      </xdr:spPr>
    </xdr:pic>
    <xdr:clientData/>
  </xdr:twoCellAnchor>
  <xdr:twoCellAnchor editAs="oneCell">
    <xdr:from>
      <xdr:col>4</xdr:col>
      <xdr:colOff>5546090</xdr:colOff>
      <xdr:row>28</xdr:row>
      <xdr:rowOff>92710</xdr:rowOff>
    </xdr:from>
    <xdr:to>
      <xdr:col>4</xdr:col>
      <xdr:colOff>9734550</xdr:colOff>
      <xdr:row>28</xdr:row>
      <xdr:rowOff>1314104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8CA261A-49AA-469C-BEB0-98BBD1BC0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32390" y="19866610"/>
          <a:ext cx="4184650" cy="122520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25</xdr:row>
      <xdr:rowOff>127000</xdr:rowOff>
    </xdr:from>
    <xdr:to>
      <xdr:col>4</xdr:col>
      <xdr:colOff>4702488</xdr:colOff>
      <xdr:row>25</xdr:row>
      <xdr:rowOff>838475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F2650E1-A5B9-4EFD-9578-A356707B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18000" y="18002250"/>
          <a:ext cx="4664388" cy="711475"/>
        </a:xfrm>
        <a:prstGeom prst="rect">
          <a:avLst/>
        </a:prstGeom>
      </xdr:spPr>
    </xdr:pic>
    <xdr:clientData/>
  </xdr:twoCellAnchor>
  <xdr:twoCellAnchor editAs="oneCell">
    <xdr:from>
      <xdr:col>4</xdr:col>
      <xdr:colOff>4949189</xdr:colOff>
      <xdr:row>25</xdr:row>
      <xdr:rowOff>135254</xdr:rowOff>
    </xdr:from>
    <xdr:to>
      <xdr:col>5</xdr:col>
      <xdr:colOff>1904</xdr:colOff>
      <xdr:row>25</xdr:row>
      <xdr:rowOff>1464309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F8175AA-E03F-4211-BCA1-AA9D3009A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84689" y="17597754"/>
          <a:ext cx="5194935" cy="1329055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</xdr:colOff>
      <xdr:row>44</xdr:row>
      <xdr:rowOff>91440</xdr:rowOff>
    </xdr:from>
    <xdr:to>
      <xdr:col>4</xdr:col>
      <xdr:colOff>9931400</xdr:colOff>
      <xdr:row>44</xdr:row>
      <xdr:rowOff>2458085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88CCC65-6118-4F18-CCF7-3E9AC865A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26940" y="45366940"/>
          <a:ext cx="10020935" cy="2366645"/>
        </a:xfrm>
        <a:prstGeom prst="rect">
          <a:avLst/>
        </a:prstGeom>
      </xdr:spPr>
    </xdr:pic>
    <xdr:clientData/>
  </xdr:twoCellAnchor>
  <xdr:twoCellAnchor editAs="oneCell">
    <xdr:from>
      <xdr:col>4</xdr:col>
      <xdr:colOff>59690</xdr:colOff>
      <xdr:row>45</xdr:row>
      <xdr:rowOff>73025</xdr:rowOff>
    </xdr:from>
    <xdr:to>
      <xdr:col>4</xdr:col>
      <xdr:colOff>9933305</xdr:colOff>
      <xdr:row>45</xdr:row>
      <xdr:rowOff>3140134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1E79AE6-0EEF-4490-9BDA-F1C7541E3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95190" y="47856775"/>
          <a:ext cx="10100310" cy="3067109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64</xdr:row>
      <xdr:rowOff>142875</xdr:rowOff>
    </xdr:from>
    <xdr:to>
      <xdr:col>4</xdr:col>
      <xdr:colOff>7907955</xdr:colOff>
      <xdr:row>64</xdr:row>
      <xdr:rowOff>1469858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640CFFF-D420-0247-0331-468B62837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29125" y="67754500"/>
          <a:ext cx="7765080" cy="1333333"/>
        </a:xfrm>
        <a:prstGeom prst="rect">
          <a:avLst/>
        </a:prstGeom>
      </xdr:spPr>
    </xdr:pic>
    <xdr:clientData/>
  </xdr:twoCellAnchor>
  <xdr:twoCellAnchor editAs="oneCell">
    <xdr:from>
      <xdr:col>4</xdr:col>
      <xdr:colOff>79375</xdr:colOff>
      <xdr:row>65</xdr:row>
      <xdr:rowOff>79375</xdr:rowOff>
    </xdr:from>
    <xdr:to>
      <xdr:col>4</xdr:col>
      <xdr:colOff>7888899</xdr:colOff>
      <xdr:row>65</xdr:row>
      <xdr:rowOff>1717470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44607E7-F99E-8B56-96E2-399ABC66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65625" y="69500750"/>
          <a:ext cx="7809524" cy="1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399993</xdr:colOff>
      <xdr:row>108</xdr:row>
      <xdr:rowOff>120015</xdr:rowOff>
    </xdr:from>
    <xdr:to>
      <xdr:col>9</xdr:col>
      <xdr:colOff>5465029</xdr:colOff>
      <xdr:row>108</xdr:row>
      <xdr:rowOff>2381885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0E1CE86-455D-15E2-BAB2-FB380681D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07118" y="105228390"/>
          <a:ext cx="5053606" cy="2248535"/>
        </a:xfrm>
        <a:prstGeom prst="rect">
          <a:avLst/>
        </a:prstGeom>
      </xdr:spPr>
    </xdr:pic>
    <xdr:clientData/>
  </xdr:twoCellAnchor>
  <xdr:twoCellAnchor editAs="oneCell">
    <xdr:from>
      <xdr:col>4</xdr:col>
      <xdr:colOff>546100</xdr:colOff>
      <xdr:row>117</xdr:row>
      <xdr:rowOff>9525</xdr:rowOff>
    </xdr:from>
    <xdr:to>
      <xdr:col>4</xdr:col>
      <xdr:colOff>6111875</xdr:colOff>
      <xdr:row>117</xdr:row>
      <xdr:rowOff>2952148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CC5160F-4A59-4CD4-A430-6D00C3A65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32350" y="114119025"/>
          <a:ext cx="5553075" cy="2957228"/>
        </a:xfrm>
        <a:prstGeom prst="rect">
          <a:avLst/>
        </a:prstGeom>
      </xdr:spPr>
    </xdr:pic>
    <xdr:clientData/>
  </xdr:twoCellAnchor>
  <xdr:twoCellAnchor editAs="oneCell">
    <xdr:from>
      <xdr:col>9</xdr:col>
      <xdr:colOff>133349</xdr:colOff>
      <xdr:row>75</xdr:row>
      <xdr:rowOff>57150</xdr:rowOff>
    </xdr:from>
    <xdr:to>
      <xdr:col>9</xdr:col>
      <xdr:colOff>5352755</xdr:colOff>
      <xdr:row>75</xdr:row>
      <xdr:rowOff>1143000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CA72BA7-2187-28E2-80A3-8767AA5DB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008474" y="75606275"/>
          <a:ext cx="5230836" cy="10858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123826</xdr:rowOff>
    </xdr:from>
    <xdr:to>
      <xdr:col>9</xdr:col>
      <xdr:colOff>5239020</xdr:colOff>
      <xdr:row>85</xdr:row>
      <xdr:rowOff>1768475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916B6D5-75FA-5BB5-41CC-FE63D6D0F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75125" y="80149701"/>
          <a:ext cx="5228225" cy="1638299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84</xdr:row>
      <xdr:rowOff>231776</xdr:rowOff>
    </xdr:from>
    <xdr:to>
      <xdr:col>10</xdr:col>
      <xdr:colOff>21525</xdr:colOff>
      <xdr:row>84</xdr:row>
      <xdr:rowOff>456267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E832AF7-8A77-CB85-B2C9-CB6CF1820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922750" y="79479776"/>
          <a:ext cx="5419025" cy="224491"/>
        </a:xfrm>
        <a:prstGeom prst="rect">
          <a:avLst/>
        </a:prstGeom>
      </xdr:spPr>
    </xdr:pic>
    <xdr:clientData/>
  </xdr:twoCellAnchor>
  <xdr:oneCellAnchor>
    <xdr:from>
      <xdr:col>9</xdr:col>
      <xdr:colOff>133349</xdr:colOff>
      <xdr:row>80</xdr:row>
      <xdr:rowOff>57150</xdr:rowOff>
    </xdr:from>
    <xdr:ext cx="5227661" cy="1085850"/>
    <xdr:pic>
      <xdr:nvPicPr>
        <xdr:cNvPr id="47" name="Picture 46">
          <a:extLst>
            <a:ext uri="{FF2B5EF4-FFF2-40B4-BE49-F238E27FC236}">
              <a16:creationId xmlns:a16="http://schemas.microsoft.com/office/drawing/2014/main" id="{75A88245-B76F-407C-9B15-3F98F032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008474" y="75606275"/>
          <a:ext cx="5227661" cy="108585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90</xdr:row>
      <xdr:rowOff>123826</xdr:rowOff>
    </xdr:from>
    <xdr:ext cx="5228225" cy="1641474"/>
    <xdr:pic>
      <xdr:nvPicPr>
        <xdr:cNvPr id="48" name="Picture 47">
          <a:extLst>
            <a:ext uri="{FF2B5EF4-FFF2-40B4-BE49-F238E27FC236}">
              <a16:creationId xmlns:a16="http://schemas.microsoft.com/office/drawing/2014/main" id="{C579D07C-7D90-47D3-B1E1-989A2EFDD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75125" y="84464526"/>
          <a:ext cx="5228225" cy="1641474"/>
        </a:xfrm>
        <a:prstGeom prst="rect">
          <a:avLst/>
        </a:prstGeom>
      </xdr:spPr>
    </xdr:pic>
    <xdr:clientData/>
  </xdr:oneCellAnchor>
  <xdr:oneCellAnchor>
    <xdr:from>
      <xdr:col>9</xdr:col>
      <xdr:colOff>47625</xdr:colOff>
      <xdr:row>89</xdr:row>
      <xdr:rowOff>231776</xdr:rowOff>
    </xdr:from>
    <xdr:ext cx="5422200" cy="221316"/>
    <xdr:pic>
      <xdr:nvPicPr>
        <xdr:cNvPr id="49" name="Picture 48">
          <a:extLst>
            <a:ext uri="{FF2B5EF4-FFF2-40B4-BE49-F238E27FC236}">
              <a16:creationId xmlns:a16="http://schemas.microsoft.com/office/drawing/2014/main" id="{11D10221-DBDC-4D7D-BAD3-B3940C3D3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919575" y="83800951"/>
          <a:ext cx="5422200" cy="221316"/>
        </a:xfrm>
        <a:prstGeom prst="rect">
          <a:avLst/>
        </a:prstGeom>
      </xdr:spPr>
    </xdr:pic>
    <xdr:clientData/>
  </xdr:oneCellAnchor>
  <xdr:twoCellAnchor editAs="oneCell">
    <xdr:from>
      <xdr:col>9</xdr:col>
      <xdr:colOff>92076</xdr:colOff>
      <xdr:row>100</xdr:row>
      <xdr:rowOff>98425</xdr:rowOff>
    </xdr:from>
    <xdr:to>
      <xdr:col>9</xdr:col>
      <xdr:colOff>5311141</xdr:colOff>
      <xdr:row>100</xdr:row>
      <xdr:rowOff>593617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BDA87EE-2D2F-BDFA-C31F-44446A899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7157701" y="97189925"/>
          <a:ext cx="5216525" cy="501542"/>
        </a:xfrm>
        <a:prstGeom prst="rect">
          <a:avLst/>
        </a:prstGeom>
      </xdr:spPr>
    </xdr:pic>
    <xdr:clientData/>
  </xdr:twoCellAnchor>
  <xdr:twoCellAnchor editAs="oneCell">
    <xdr:from>
      <xdr:col>9</xdr:col>
      <xdr:colOff>82550</xdr:colOff>
      <xdr:row>95</xdr:row>
      <xdr:rowOff>234950</xdr:rowOff>
    </xdr:from>
    <xdr:to>
      <xdr:col>9</xdr:col>
      <xdr:colOff>5273040</xdr:colOff>
      <xdr:row>95</xdr:row>
      <xdr:rowOff>742217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493AD98-CCC7-D902-6529-BD05B9C22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148175" y="93452950"/>
          <a:ext cx="5187950" cy="507267"/>
        </a:xfrm>
        <a:prstGeom prst="rect">
          <a:avLst/>
        </a:prstGeom>
      </xdr:spPr>
    </xdr:pic>
    <xdr:clientData/>
  </xdr:twoCellAnchor>
  <xdr:twoCellAnchor editAs="oneCell">
    <xdr:from>
      <xdr:col>4</xdr:col>
      <xdr:colOff>365125</xdr:colOff>
      <xdr:row>51</xdr:row>
      <xdr:rowOff>51435</xdr:rowOff>
    </xdr:from>
    <xdr:to>
      <xdr:col>4</xdr:col>
      <xdr:colOff>7905750</xdr:colOff>
      <xdr:row>51</xdr:row>
      <xdr:rowOff>1658834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AACF67-C218-4154-B598-1FA4B9A85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000625" y="55645685"/>
          <a:ext cx="7536815" cy="1594064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</xdr:colOff>
      <xdr:row>61</xdr:row>
      <xdr:rowOff>170815</xdr:rowOff>
    </xdr:from>
    <xdr:to>
      <xdr:col>5</xdr:col>
      <xdr:colOff>0</xdr:colOff>
      <xdr:row>61</xdr:row>
      <xdr:rowOff>3179445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5F8B11-6A8E-46E1-B3C4-97A04C87F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726940" y="64655065"/>
          <a:ext cx="10005060" cy="3012440"/>
        </a:xfrm>
        <a:prstGeom prst="rect">
          <a:avLst/>
        </a:prstGeom>
      </xdr:spPr>
    </xdr:pic>
    <xdr:clientData/>
  </xdr:twoCellAnchor>
  <xdr:twoCellAnchor editAs="oneCell">
    <xdr:from>
      <xdr:col>8</xdr:col>
      <xdr:colOff>873125</xdr:colOff>
      <xdr:row>76</xdr:row>
      <xdr:rowOff>238125</xdr:rowOff>
    </xdr:from>
    <xdr:to>
      <xdr:col>9</xdr:col>
      <xdr:colOff>5702235</xdr:colOff>
      <xdr:row>76</xdr:row>
      <xdr:rowOff>460711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1C4FB64-E5E7-414F-9F42-BAC3D7B93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891250" y="79486125"/>
          <a:ext cx="5849555" cy="2225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5704775</xdr:colOff>
      <xdr:row>81</xdr:row>
      <xdr:rowOff>213061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1307933-3F6A-4E57-AF21-50905F883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907125" y="83550125"/>
          <a:ext cx="5851460" cy="220681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</xdr:colOff>
      <xdr:row>59</xdr:row>
      <xdr:rowOff>130810</xdr:rowOff>
    </xdr:from>
    <xdr:to>
      <xdr:col>5</xdr:col>
      <xdr:colOff>3175</xdr:colOff>
      <xdr:row>59</xdr:row>
      <xdr:rowOff>3125470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F5AB72A-2BDA-89A7-B1C7-5A488BF5A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304155" y="62646560"/>
          <a:ext cx="10126345" cy="2994660"/>
        </a:xfrm>
        <a:prstGeom prst="rect">
          <a:avLst/>
        </a:prstGeom>
      </xdr:spPr>
    </xdr:pic>
    <xdr:clientData/>
  </xdr:twoCellAnchor>
  <xdr:twoCellAnchor editAs="oneCell">
    <xdr:from>
      <xdr:col>9</xdr:col>
      <xdr:colOff>662940</xdr:colOff>
      <xdr:row>58</xdr:row>
      <xdr:rowOff>81280</xdr:rowOff>
    </xdr:from>
    <xdr:to>
      <xdr:col>9</xdr:col>
      <xdr:colOff>4401071</xdr:colOff>
      <xdr:row>58</xdr:row>
      <xdr:rowOff>321342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5DB1C2-C6DF-B9EF-1951-AB499FF80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712940" y="61962030"/>
          <a:ext cx="3741941" cy="228632"/>
        </a:xfrm>
        <a:prstGeom prst="rect">
          <a:avLst/>
        </a:prstGeom>
      </xdr:spPr>
    </xdr:pic>
    <xdr:clientData/>
  </xdr:twoCellAnchor>
  <xdr:twoCellAnchor editAs="oneCell">
    <xdr:from>
      <xdr:col>9</xdr:col>
      <xdr:colOff>63500</xdr:colOff>
      <xdr:row>57</xdr:row>
      <xdr:rowOff>15875</xdr:rowOff>
    </xdr:from>
    <xdr:to>
      <xdr:col>9</xdr:col>
      <xdr:colOff>4460854</xdr:colOff>
      <xdr:row>57</xdr:row>
      <xdr:rowOff>246415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21336BE-76A5-7C53-876A-E8DBD7952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113500" y="61261625"/>
          <a:ext cx="4397354" cy="243875"/>
        </a:xfrm>
        <a:prstGeom prst="rect">
          <a:avLst/>
        </a:prstGeom>
      </xdr:spPr>
    </xdr:pic>
    <xdr:clientData/>
  </xdr:twoCellAnchor>
  <xdr:twoCellAnchor editAs="oneCell">
    <xdr:from>
      <xdr:col>4</xdr:col>
      <xdr:colOff>59053</xdr:colOff>
      <xdr:row>60</xdr:row>
      <xdr:rowOff>29845</xdr:rowOff>
    </xdr:from>
    <xdr:to>
      <xdr:col>4</xdr:col>
      <xdr:colOff>9932669</xdr:colOff>
      <xdr:row>60</xdr:row>
      <xdr:rowOff>2573020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FEEF0C8-60F1-4633-79F4-5F691AAC2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313678" y="65688845"/>
          <a:ext cx="10085071" cy="2539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598863</xdr:colOff>
      <xdr:row>11</xdr:row>
      <xdr:rowOff>114300</xdr:rowOff>
    </xdr:from>
    <xdr:to>
      <xdr:col>8</xdr:col>
      <xdr:colOff>455988</xdr:colOff>
      <xdr:row>12</xdr:row>
      <xdr:rowOff>352425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1554827" y="2125980"/>
          <a:ext cx="4570441" cy="4210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24</xdr:row>
      <xdr:rowOff>0</xdr:rowOff>
    </xdr:from>
    <xdr:to>
      <xdr:col>9</xdr:col>
      <xdr:colOff>427779</xdr:colOff>
      <xdr:row>42</xdr:row>
      <xdr:rowOff>171000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0"/>
          <a:ext cx="6771429" cy="36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19</xdr:col>
      <xdr:colOff>463143</xdr:colOff>
      <xdr:row>15</xdr:row>
      <xdr:rowOff>9181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00C8A1-3FCF-4345-A930-D6F8D795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8550" y="171450"/>
          <a:ext cx="3257143" cy="2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26</xdr:col>
      <xdr:colOff>449108</xdr:colOff>
      <xdr:row>22</xdr:row>
      <xdr:rowOff>164651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16C3A-A016-4545-BBB6-834926621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342900"/>
          <a:ext cx="13933333" cy="3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27</xdr:col>
      <xdr:colOff>245863</xdr:colOff>
      <xdr:row>38</xdr:row>
      <xdr:rowOff>88589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2C6E83-0E39-4728-9ADB-E6FFC1D0D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" y="4114800"/>
          <a:ext cx="14295238" cy="24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27</xdr:col>
      <xdr:colOff>245863</xdr:colOff>
      <xdr:row>62</xdr:row>
      <xdr:rowOff>164651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314B65-BBAF-4832-ADC8-D2D49E0E7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0" y="7200900"/>
          <a:ext cx="14295238" cy="3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27</xdr:col>
      <xdr:colOff>245863</xdr:colOff>
      <xdr:row>78</xdr:row>
      <xdr:rowOff>85414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9E1019-A695-4FF1-BBAC-541481440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950" y="10972800"/>
          <a:ext cx="14295238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olamvssprod.mclaneco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2"/>
  <sheetViews>
    <sheetView topLeftCell="A4" workbookViewId="0">
      <selection activeCell="C9" sqref="C9"/>
    </sheetView>
  </sheetViews>
  <sheetFormatPr defaultRowHeight="14.45"/>
  <cols>
    <col min="3" max="3" width="51.42578125" bestFit="1" customWidth="1"/>
  </cols>
  <sheetData>
    <row r="1" spans="2:3">
      <c r="B1" s="7"/>
      <c r="C1" s="7"/>
    </row>
    <row r="2" spans="2:3">
      <c r="B2" s="7"/>
      <c r="C2" s="7"/>
    </row>
    <row r="3" spans="2:3">
      <c r="C3" s="1" t="s">
        <v>0</v>
      </c>
    </row>
    <row r="4" spans="2:3">
      <c r="C4" s="9" t="s">
        <v>1</v>
      </c>
    </row>
    <row r="5" spans="2:3">
      <c r="C5" s="1"/>
    </row>
    <row r="6" spans="2:3">
      <c r="C6" s="1"/>
    </row>
    <row r="7" spans="2:3">
      <c r="C7" s="13" t="s">
        <v>2</v>
      </c>
    </row>
    <row r="8" spans="2:3">
      <c r="C8" s="12" t="s">
        <v>3</v>
      </c>
    </row>
    <row r="9" spans="2:3">
      <c r="C9" s="10"/>
    </row>
    <row r="10" spans="2:3">
      <c r="C10" s="1"/>
    </row>
    <row r="11" spans="2:3">
      <c r="C11" s="13" t="s">
        <v>4</v>
      </c>
    </row>
    <row r="12" spans="2:3">
      <c r="C12" s="12" t="s">
        <v>5</v>
      </c>
    </row>
    <row r="13" spans="2:3" ht="15">
      <c r="C13" s="11" t="s">
        <v>6</v>
      </c>
    </row>
    <row r="14" spans="2:3">
      <c r="C14" s="1"/>
    </row>
    <row r="15" spans="2:3">
      <c r="C15" s="13" t="s">
        <v>7</v>
      </c>
    </row>
    <row r="16" spans="2:3" ht="21">
      <c r="C16" s="184" t="s">
        <v>8</v>
      </c>
    </row>
    <row r="17" spans="3:4">
      <c r="C17" s="6"/>
    </row>
    <row r="18" spans="3:4">
      <c r="C18" s="6"/>
    </row>
    <row r="19" spans="3:4">
      <c r="C19" s="5"/>
    </row>
    <row r="20" spans="3:4">
      <c r="C20" s="6" t="s">
        <v>9</v>
      </c>
      <c r="D20" t="s">
        <v>10</v>
      </c>
    </row>
    <row r="21" spans="3:4">
      <c r="C21" s="6"/>
      <c r="D21" t="s">
        <v>11</v>
      </c>
    </row>
    <row r="22" spans="3:4">
      <c r="C22" s="5"/>
      <c r="D22" t="s">
        <v>12</v>
      </c>
    </row>
    <row r="23" spans="3:4">
      <c r="C23" s="5"/>
      <c r="D23" t="s">
        <v>13</v>
      </c>
    </row>
    <row r="24" spans="3:4">
      <c r="C24" s="6"/>
      <c r="D24" t="s">
        <v>14</v>
      </c>
    </row>
    <row r="25" spans="3:4">
      <c r="C25" s="6"/>
    </row>
    <row r="26" spans="3:4">
      <c r="C26" s="5"/>
    </row>
    <row r="27" spans="3:4">
      <c r="C27" s="6"/>
    </row>
    <row r="28" spans="3:4">
      <c r="C28" s="6"/>
    </row>
    <row r="29" spans="3:4">
      <c r="C29" s="5"/>
    </row>
    <row r="30" spans="3:4">
      <c r="C30" s="6"/>
    </row>
    <row r="31" spans="3:4">
      <c r="C31" s="1"/>
    </row>
    <row r="32" spans="3:4">
      <c r="C32" s="1"/>
    </row>
  </sheetData>
  <pageMargins left="0.7" right="0.7" top="0.75" bottom="0.75" header="0.3" footer="0.3"/>
  <pageSetup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IV140"/>
  <sheetViews>
    <sheetView showGridLines="0" tabSelected="1" topLeftCell="A120" zoomScale="60" zoomScaleNormal="60" workbookViewId="0">
      <selection activeCell="D140" sqref="D140"/>
    </sheetView>
  </sheetViews>
  <sheetFormatPr defaultColWidth="9.140625" defaultRowHeight="24.6"/>
  <cols>
    <col min="1" max="1" width="24.85546875" style="140" bestFit="1" customWidth="1"/>
    <col min="2" max="2" width="24" style="141" bestFit="1" customWidth="1"/>
    <col min="3" max="3" width="13" style="28" bestFit="1" customWidth="1"/>
    <col min="4" max="4" width="14.85546875" style="28" bestFit="1" customWidth="1"/>
    <col min="5" max="5" width="149" style="142" customWidth="1"/>
    <col min="6" max="6" width="11.140625" style="28" bestFit="1" customWidth="1"/>
    <col min="7" max="7" width="13.85546875" style="31" bestFit="1" customWidth="1"/>
    <col min="8" max="8" width="14.28515625" style="28" customWidth="1"/>
    <col min="9" max="9" width="13" style="28" bestFit="1" customWidth="1"/>
    <col min="10" max="10" width="85.5703125" style="28" customWidth="1"/>
    <col min="11" max="16384" width="9.140625" style="28"/>
  </cols>
  <sheetData>
    <row r="1" spans="1:256" ht="54" customHeight="1">
      <c r="A1" s="39" t="s">
        <v>15</v>
      </c>
      <c r="B1" s="40">
        <v>45710</v>
      </c>
      <c r="C1" s="41" t="s">
        <v>16</v>
      </c>
      <c r="D1" s="42"/>
      <c r="E1" s="43" t="s">
        <v>17</v>
      </c>
      <c r="F1" s="44"/>
      <c r="G1" s="45"/>
      <c r="H1" s="46"/>
      <c r="I1" s="45"/>
      <c r="J1" s="47"/>
      <c r="K1" s="27"/>
      <c r="L1" s="27"/>
      <c r="M1" s="27"/>
      <c r="N1" s="27"/>
      <c r="O1" s="27"/>
      <c r="P1" s="27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</row>
    <row r="2" spans="1:256">
      <c r="A2" s="49" t="s">
        <v>18</v>
      </c>
      <c r="B2" s="50" t="s">
        <v>19</v>
      </c>
      <c r="C2" s="45" t="s">
        <v>16</v>
      </c>
      <c r="D2" s="51" t="s">
        <v>20</v>
      </c>
      <c r="E2" s="43" t="s">
        <v>21</v>
      </c>
      <c r="F2" s="52" t="s">
        <v>22</v>
      </c>
      <c r="G2" s="45" t="s">
        <v>22</v>
      </c>
      <c r="H2" s="46" t="s">
        <v>22</v>
      </c>
      <c r="I2" s="45" t="s">
        <v>22</v>
      </c>
      <c r="J2" s="43" t="s">
        <v>23</v>
      </c>
      <c r="K2" s="27"/>
      <c r="L2" s="27"/>
      <c r="M2" s="27"/>
      <c r="N2" s="27"/>
      <c r="O2" s="27"/>
      <c r="P2" s="27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</row>
    <row r="3" spans="1:256">
      <c r="A3" s="53"/>
      <c r="B3" s="54"/>
      <c r="C3" s="45"/>
      <c r="D3" s="51"/>
      <c r="E3" s="43" t="s">
        <v>24</v>
      </c>
      <c r="F3" s="52" t="s">
        <v>25</v>
      </c>
      <c r="G3" s="45" t="s">
        <v>25</v>
      </c>
      <c r="H3" s="46" t="s">
        <v>25</v>
      </c>
      <c r="I3" s="45" t="s">
        <v>25</v>
      </c>
      <c r="J3" s="43"/>
      <c r="K3" s="27"/>
      <c r="L3" s="27"/>
      <c r="M3" s="27"/>
      <c r="N3" s="27"/>
      <c r="O3" s="27"/>
      <c r="P3" s="27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</row>
    <row r="4" spans="1:256">
      <c r="A4" s="55"/>
      <c r="B4" s="56"/>
      <c r="C4" s="45"/>
      <c r="D4" s="51"/>
      <c r="E4" s="43" t="s">
        <v>26</v>
      </c>
      <c r="F4" s="52"/>
      <c r="G4" s="45"/>
      <c r="H4" s="46"/>
      <c r="I4" s="45"/>
      <c r="J4" s="43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</row>
    <row r="5" spans="1:256" ht="39" customHeight="1">
      <c r="A5" s="57"/>
      <c r="B5" s="58" t="s">
        <v>27</v>
      </c>
      <c r="C5" s="59" t="s">
        <v>28</v>
      </c>
      <c r="D5" s="60">
        <v>1</v>
      </c>
      <c r="E5" s="61" t="s">
        <v>29</v>
      </c>
      <c r="F5" s="52" t="s">
        <v>30</v>
      </c>
      <c r="G5" s="45"/>
      <c r="H5" s="46"/>
      <c r="I5" s="45"/>
      <c r="J5" s="43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</row>
    <row r="6" spans="1:256" ht="39" customHeight="1">
      <c r="A6" s="57"/>
      <c r="B6" s="58" t="s">
        <v>27</v>
      </c>
      <c r="C6" s="59" t="s">
        <v>28</v>
      </c>
      <c r="D6" s="60">
        <v>2</v>
      </c>
      <c r="E6" s="61" t="s">
        <v>31</v>
      </c>
      <c r="F6" s="52" t="s">
        <v>30</v>
      </c>
      <c r="G6" s="45"/>
      <c r="H6" s="46"/>
      <c r="I6" s="45"/>
      <c r="J6" s="43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</row>
    <row r="7" spans="1:256" ht="39" customHeight="1">
      <c r="A7" s="57"/>
      <c r="B7" s="56"/>
      <c r="C7" s="59" t="s">
        <v>16</v>
      </c>
      <c r="D7" s="60"/>
      <c r="E7" s="43" t="s">
        <v>32</v>
      </c>
      <c r="F7" s="52"/>
      <c r="G7" s="45"/>
      <c r="H7" s="46"/>
      <c r="I7" s="45"/>
      <c r="J7" s="43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</row>
    <row r="8" spans="1:256" ht="54" customHeight="1">
      <c r="A8" s="57">
        <v>0.35416666666666669</v>
      </c>
      <c r="B8" s="62" t="s">
        <v>33</v>
      </c>
      <c r="C8" s="59" t="s">
        <v>34</v>
      </c>
      <c r="D8" s="60">
        <v>1</v>
      </c>
      <c r="E8" s="61" t="s">
        <v>35</v>
      </c>
      <c r="F8" s="52"/>
      <c r="G8" s="45"/>
      <c r="H8" s="46"/>
      <c r="I8" s="45"/>
      <c r="J8" s="43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</row>
    <row r="9" spans="1:256" ht="56.25" customHeight="1">
      <c r="A9" s="63"/>
      <c r="B9" s="50" t="s">
        <v>33</v>
      </c>
      <c r="C9" s="59" t="s">
        <v>28</v>
      </c>
      <c r="D9" s="60">
        <f>SUM(D8+1)</f>
        <v>2</v>
      </c>
      <c r="E9" s="64" t="s">
        <v>36</v>
      </c>
      <c r="F9" s="52" t="s">
        <v>16</v>
      </c>
      <c r="G9" s="45" t="s">
        <v>37</v>
      </c>
      <c r="H9" s="46"/>
      <c r="I9" s="45"/>
      <c r="J9" s="47" t="s">
        <v>38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</row>
    <row r="10" spans="1:256" ht="54" customHeight="1">
      <c r="A10" s="57"/>
      <c r="B10" s="50" t="s">
        <v>33</v>
      </c>
      <c r="C10" s="59" t="s">
        <v>28</v>
      </c>
      <c r="D10" s="60">
        <f t="shared" ref="D10:D12" si="0">SUM(D9+1)</f>
        <v>3</v>
      </c>
      <c r="E10" s="61" t="s">
        <v>39</v>
      </c>
      <c r="F10" s="52"/>
      <c r="G10" s="45"/>
      <c r="H10" s="46"/>
      <c r="I10" s="45"/>
      <c r="J10" s="43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</row>
    <row r="11" spans="1:256" ht="54" customHeight="1">
      <c r="A11" s="57">
        <v>0.35</v>
      </c>
      <c r="B11" s="50"/>
      <c r="C11" s="59" t="s">
        <v>28</v>
      </c>
      <c r="D11" s="60">
        <f t="shared" si="0"/>
        <v>4</v>
      </c>
      <c r="E11" s="182" t="s">
        <v>40</v>
      </c>
      <c r="F11" s="52"/>
      <c r="G11" s="45"/>
      <c r="H11" s="46"/>
      <c r="I11" s="45"/>
      <c r="J11" s="43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</row>
    <row r="12" spans="1:256" ht="78" customHeight="1">
      <c r="A12" s="63"/>
      <c r="B12" s="50" t="s">
        <v>33</v>
      </c>
      <c r="C12" s="59" t="s">
        <v>28</v>
      </c>
      <c r="D12" s="60">
        <f t="shared" si="0"/>
        <v>5</v>
      </c>
      <c r="E12" s="61" t="s">
        <v>41</v>
      </c>
      <c r="F12" s="52"/>
      <c r="G12" s="45" t="s">
        <v>37</v>
      </c>
      <c r="H12" s="46"/>
      <c r="I12" s="45"/>
      <c r="J12" s="185" t="s">
        <v>42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</row>
    <row r="13" spans="1:256" ht="54" customHeight="1">
      <c r="A13" s="63"/>
      <c r="B13" s="50" t="s">
        <v>33</v>
      </c>
      <c r="C13" s="59" t="s">
        <v>28</v>
      </c>
      <c r="D13" s="60">
        <f t="shared" ref="D13" si="1">SUM(D12+1)</f>
        <v>6</v>
      </c>
      <c r="E13" s="66" t="s">
        <v>43</v>
      </c>
      <c r="F13" s="52"/>
      <c r="G13" s="45" t="s">
        <v>37</v>
      </c>
      <c r="H13" s="46"/>
      <c r="I13" s="45"/>
      <c r="J13" s="4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</row>
    <row r="14" spans="1:256" ht="54" customHeight="1">
      <c r="A14" s="63"/>
      <c r="B14" s="50" t="s">
        <v>33</v>
      </c>
      <c r="C14" s="59" t="s">
        <v>28</v>
      </c>
      <c r="D14" s="60">
        <f t="shared" ref="D14:D23" si="2">SUM(D13+1)</f>
        <v>7</v>
      </c>
      <c r="E14" s="66" t="s">
        <v>44</v>
      </c>
      <c r="F14" s="52"/>
      <c r="G14" s="45" t="s">
        <v>37</v>
      </c>
      <c r="H14" s="46"/>
      <c r="I14" s="45"/>
      <c r="J14" s="4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</row>
    <row r="15" spans="1:256" ht="54" customHeight="1">
      <c r="A15" s="67"/>
      <c r="B15" s="68" t="s">
        <v>33</v>
      </c>
      <c r="C15" s="69" t="s">
        <v>28</v>
      </c>
      <c r="D15" s="70">
        <f t="shared" si="2"/>
        <v>8</v>
      </c>
      <c r="E15" s="71" t="s">
        <v>45</v>
      </c>
      <c r="F15" s="72" t="s">
        <v>16</v>
      </c>
      <c r="G15" s="73"/>
      <c r="H15" s="74"/>
      <c r="I15" s="73"/>
      <c r="J15" s="75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</row>
    <row r="16" spans="1:256" ht="171.4" customHeight="1">
      <c r="A16" s="63"/>
      <c r="B16" s="50" t="s">
        <v>33</v>
      </c>
      <c r="C16" s="59" t="s">
        <v>28</v>
      </c>
      <c r="D16" s="76">
        <f t="shared" si="2"/>
        <v>9</v>
      </c>
      <c r="E16" s="38"/>
      <c r="F16" s="52" t="s">
        <v>30</v>
      </c>
      <c r="G16" s="45"/>
      <c r="H16" s="46"/>
      <c r="I16" s="45"/>
      <c r="J16" s="4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</row>
    <row r="17" spans="1:256" ht="54" customHeight="1">
      <c r="A17" s="63">
        <v>0.35486111111111113</v>
      </c>
      <c r="B17" s="50" t="s">
        <v>33</v>
      </c>
      <c r="C17" s="59" t="s">
        <v>28</v>
      </c>
      <c r="D17" s="76">
        <f t="shared" si="2"/>
        <v>10</v>
      </c>
      <c r="E17" s="38" t="s">
        <v>46</v>
      </c>
      <c r="F17" s="52" t="s">
        <v>30</v>
      </c>
      <c r="G17" s="45"/>
      <c r="H17" s="46"/>
      <c r="I17" s="45"/>
      <c r="J17" s="77" t="s">
        <v>47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</row>
    <row r="18" spans="1:256" ht="73.5" customHeight="1">
      <c r="A18" s="63"/>
      <c r="B18" s="50" t="s">
        <v>33</v>
      </c>
      <c r="C18" s="59" t="s">
        <v>28</v>
      </c>
      <c r="D18" s="76">
        <f t="shared" si="2"/>
        <v>11</v>
      </c>
      <c r="E18" s="38" t="s">
        <v>48</v>
      </c>
      <c r="F18" s="52" t="s">
        <v>30</v>
      </c>
      <c r="G18" s="45" t="s">
        <v>37</v>
      </c>
      <c r="H18" s="46"/>
      <c r="I18" s="45"/>
      <c r="J18" s="77" t="s">
        <v>49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</row>
    <row r="19" spans="1:256" ht="54" customHeight="1">
      <c r="A19" s="63"/>
      <c r="B19" s="50" t="s">
        <v>33</v>
      </c>
      <c r="C19" s="59" t="s">
        <v>28</v>
      </c>
      <c r="D19" s="76">
        <f t="shared" si="2"/>
        <v>12</v>
      </c>
      <c r="E19" s="38" t="s">
        <v>50</v>
      </c>
      <c r="F19" s="52" t="s">
        <v>30</v>
      </c>
      <c r="G19" s="45"/>
      <c r="H19" s="46"/>
      <c r="I19" s="45"/>
      <c r="J19" s="77" t="s">
        <v>51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</row>
    <row r="20" spans="1:256" ht="54" customHeight="1">
      <c r="A20" s="63"/>
      <c r="B20" s="50" t="s">
        <v>33</v>
      </c>
      <c r="C20" s="59" t="s">
        <v>28</v>
      </c>
      <c r="D20" s="76">
        <f t="shared" si="2"/>
        <v>13</v>
      </c>
      <c r="E20" s="38" t="s">
        <v>52</v>
      </c>
      <c r="F20" s="52" t="s">
        <v>30</v>
      </c>
      <c r="G20" s="45" t="s">
        <v>53</v>
      </c>
      <c r="H20" s="46" t="s">
        <v>37</v>
      </c>
      <c r="I20" s="45" t="s">
        <v>54</v>
      </c>
      <c r="J20" s="7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</row>
    <row r="21" spans="1:256" ht="54" customHeight="1">
      <c r="A21" s="63"/>
      <c r="B21" s="50" t="s">
        <v>33</v>
      </c>
      <c r="C21" s="59" t="s">
        <v>28</v>
      </c>
      <c r="D21" s="76">
        <f t="shared" si="2"/>
        <v>14</v>
      </c>
      <c r="E21" s="38" t="s">
        <v>55</v>
      </c>
      <c r="F21" s="52"/>
      <c r="G21" s="45" t="s">
        <v>53</v>
      </c>
      <c r="H21" s="46"/>
      <c r="I21" s="45"/>
      <c r="J21" s="7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</row>
    <row r="22" spans="1:256" ht="54" customHeight="1">
      <c r="A22" s="63"/>
      <c r="B22" s="50" t="s">
        <v>33</v>
      </c>
      <c r="C22" s="59" t="s">
        <v>28</v>
      </c>
      <c r="D22" s="76">
        <f t="shared" si="2"/>
        <v>15</v>
      </c>
      <c r="E22" s="38" t="s">
        <v>56</v>
      </c>
      <c r="F22" s="52"/>
      <c r="G22" s="45"/>
      <c r="H22" s="46" t="s">
        <v>37</v>
      </c>
      <c r="I22" s="45"/>
      <c r="J22" s="7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</row>
    <row r="23" spans="1:256" ht="54" customHeight="1">
      <c r="A23" s="63"/>
      <c r="B23" s="50" t="s">
        <v>33</v>
      </c>
      <c r="C23" s="59" t="s">
        <v>28</v>
      </c>
      <c r="D23" s="76">
        <f t="shared" si="2"/>
        <v>16</v>
      </c>
      <c r="E23" s="38" t="s">
        <v>57</v>
      </c>
      <c r="F23" s="52" t="s">
        <v>30</v>
      </c>
      <c r="G23" s="45" t="s">
        <v>53</v>
      </c>
      <c r="H23" s="46" t="s">
        <v>37</v>
      </c>
      <c r="I23" s="45" t="s">
        <v>54</v>
      </c>
      <c r="J23" s="77" t="s">
        <v>58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</row>
    <row r="24" spans="1:256" ht="54" customHeight="1">
      <c r="A24" s="186"/>
      <c r="B24" s="187" t="s">
        <v>33</v>
      </c>
      <c r="C24" s="188" t="s">
        <v>28</v>
      </c>
      <c r="D24" s="189">
        <f t="shared" ref="D24:D72" si="3">SUM(D23+1)</f>
        <v>17</v>
      </c>
      <c r="E24" s="190" t="s">
        <v>59</v>
      </c>
      <c r="F24" s="191"/>
      <c r="G24" s="206" t="s">
        <v>37</v>
      </c>
      <c r="H24" s="193"/>
      <c r="I24" s="192"/>
      <c r="J24" s="194" t="s">
        <v>60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</row>
    <row r="25" spans="1:256" ht="54" customHeight="1">
      <c r="A25" s="186"/>
      <c r="B25" s="187"/>
      <c r="C25" s="188" t="s">
        <v>28</v>
      </c>
      <c r="D25" s="189">
        <f t="shared" si="3"/>
        <v>18</v>
      </c>
      <c r="E25" s="195" t="s">
        <v>61</v>
      </c>
      <c r="F25" s="191"/>
      <c r="G25" s="192" t="s">
        <v>37</v>
      </c>
      <c r="H25" s="193"/>
      <c r="I25" s="192"/>
      <c r="J25" s="194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</row>
    <row r="26" spans="1:256" ht="121.7" customHeight="1">
      <c r="A26" s="186"/>
      <c r="B26" s="187" t="s">
        <v>33</v>
      </c>
      <c r="C26" s="188" t="s">
        <v>28</v>
      </c>
      <c r="D26" s="189">
        <f t="shared" si="3"/>
        <v>19</v>
      </c>
      <c r="E26" s="195" t="s">
        <v>62</v>
      </c>
      <c r="F26" s="191"/>
      <c r="G26" s="192" t="s">
        <v>37</v>
      </c>
      <c r="H26" s="193"/>
      <c r="I26" s="192"/>
      <c r="J26" s="194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</row>
    <row r="27" spans="1:256" ht="54" customHeight="1">
      <c r="A27" s="196"/>
      <c r="B27" s="197" t="s">
        <v>33</v>
      </c>
      <c r="C27" s="198" t="s">
        <v>28</v>
      </c>
      <c r="D27" s="199">
        <f t="shared" si="3"/>
        <v>20</v>
      </c>
      <c r="E27" s="200" t="s">
        <v>63</v>
      </c>
      <c r="F27" s="201"/>
      <c r="G27" s="202"/>
      <c r="H27" s="203" t="s">
        <v>53</v>
      </c>
      <c r="I27" s="202"/>
      <c r="J27" s="204" t="s">
        <v>64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</row>
    <row r="28" spans="1:256" ht="54" customHeight="1">
      <c r="A28" s="196"/>
      <c r="B28" s="197"/>
      <c r="C28" s="198" t="s">
        <v>28</v>
      </c>
      <c r="D28" s="199">
        <f t="shared" si="3"/>
        <v>21</v>
      </c>
      <c r="E28" s="205" t="s">
        <v>65</v>
      </c>
      <c r="F28" s="201"/>
      <c r="G28" s="202"/>
      <c r="H28" s="203" t="s">
        <v>53</v>
      </c>
      <c r="I28" s="202"/>
      <c r="J28" s="204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</row>
    <row r="29" spans="1:256" ht="144" customHeight="1">
      <c r="A29" s="196"/>
      <c r="B29" s="197"/>
      <c r="C29" s="198" t="s">
        <v>28</v>
      </c>
      <c r="D29" s="199">
        <f t="shared" si="3"/>
        <v>22</v>
      </c>
      <c r="E29" s="205" t="s">
        <v>62</v>
      </c>
      <c r="F29" s="201"/>
      <c r="G29" s="202"/>
      <c r="H29" s="203" t="s">
        <v>53</v>
      </c>
      <c r="I29" s="202"/>
      <c r="J29" s="204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</row>
    <row r="30" spans="1:256" ht="54" customHeight="1">
      <c r="A30" s="78"/>
      <c r="B30" s="68"/>
      <c r="C30" s="69" t="s">
        <v>28</v>
      </c>
      <c r="D30" s="79">
        <f t="shared" si="3"/>
        <v>23</v>
      </c>
      <c r="E30" s="80" t="s">
        <v>66</v>
      </c>
      <c r="F30" s="72"/>
      <c r="G30" s="73"/>
      <c r="H30" s="81"/>
      <c r="I30" s="82"/>
      <c r="J30" s="75"/>
      <c r="K30" s="27"/>
      <c r="L30" s="27"/>
      <c r="M30" s="27"/>
      <c r="N30" s="27"/>
      <c r="O30" s="27"/>
      <c r="P30" s="27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</row>
    <row r="31" spans="1:256" ht="54" customHeight="1">
      <c r="A31" s="63"/>
      <c r="B31" s="50" t="s">
        <v>33</v>
      </c>
      <c r="C31" s="59" t="s">
        <v>28</v>
      </c>
      <c r="D31" s="60">
        <f t="shared" si="3"/>
        <v>24</v>
      </c>
      <c r="E31" s="61" t="s">
        <v>67</v>
      </c>
      <c r="F31" s="83"/>
      <c r="G31" s="45" t="s">
        <v>37</v>
      </c>
      <c r="H31" s="46"/>
      <c r="I31" s="45"/>
      <c r="J31" s="47" t="s">
        <v>38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</row>
    <row r="32" spans="1:256" ht="54" customHeight="1">
      <c r="A32" s="63"/>
      <c r="B32" s="50" t="s">
        <v>33</v>
      </c>
      <c r="C32" s="59" t="s">
        <v>28</v>
      </c>
      <c r="D32" s="60">
        <f t="shared" si="3"/>
        <v>25</v>
      </c>
      <c r="E32" s="61" t="s">
        <v>68</v>
      </c>
      <c r="F32" s="52"/>
      <c r="G32" s="45" t="s">
        <v>37</v>
      </c>
      <c r="H32" s="84"/>
      <c r="I32" s="85"/>
      <c r="J32" s="47"/>
      <c r="K32" s="27"/>
      <c r="L32" s="27"/>
      <c r="M32" s="27"/>
      <c r="N32" s="27"/>
      <c r="O32" s="27"/>
      <c r="P32" s="27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</row>
    <row r="33" spans="1:256" ht="54" customHeight="1">
      <c r="A33" s="63"/>
      <c r="B33" s="50" t="s">
        <v>33</v>
      </c>
      <c r="C33" s="59" t="s">
        <v>28</v>
      </c>
      <c r="D33" s="60">
        <f t="shared" si="3"/>
        <v>26</v>
      </c>
      <c r="E33" s="61" t="s">
        <v>69</v>
      </c>
      <c r="F33" s="52"/>
      <c r="G33" s="45" t="s">
        <v>37</v>
      </c>
      <c r="H33" s="84"/>
      <c r="I33" s="85"/>
      <c r="J33" s="47" t="s">
        <v>70</v>
      </c>
      <c r="K33" s="27"/>
      <c r="L33" s="27"/>
      <c r="M33" s="27"/>
      <c r="N33" s="27"/>
      <c r="O33" s="27"/>
      <c r="P33" s="27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</row>
    <row r="34" spans="1:256" ht="54" customHeight="1">
      <c r="A34" s="63"/>
      <c r="B34" s="50"/>
      <c r="C34" s="59"/>
      <c r="D34" s="60">
        <f t="shared" si="3"/>
        <v>27</v>
      </c>
      <c r="E34" s="143" t="s">
        <v>71</v>
      </c>
      <c r="F34" s="52"/>
      <c r="G34" s="45" t="s">
        <v>37</v>
      </c>
      <c r="H34" s="84"/>
      <c r="I34" s="85"/>
      <c r="J34" s="47"/>
      <c r="K34" s="27"/>
      <c r="L34" s="27"/>
      <c r="M34" s="27"/>
      <c r="N34" s="27"/>
      <c r="O34" s="27"/>
      <c r="P34" s="27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</row>
    <row r="35" spans="1:256" ht="54" customHeight="1">
      <c r="A35" s="63"/>
      <c r="B35" s="50" t="s">
        <v>33</v>
      </c>
      <c r="C35" s="59" t="s">
        <v>28</v>
      </c>
      <c r="D35" s="60">
        <f t="shared" si="3"/>
        <v>28</v>
      </c>
      <c r="E35" s="61" t="s">
        <v>72</v>
      </c>
      <c r="F35" s="52"/>
      <c r="G35" s="45" t="s">
        <v>37</v>
      </c>
      <c r="H35" s="84"/>
      <c r="I35" s="85"/>
      <c r="J35" s="47"/>
      <c r="K35" s="27"/>
      <c r="L35" s="27"/>
      <c r="M35" s="27"/>
      <c r="N35" s="27"/>
      <c r="O35" s="27"/>
      <c r="P35" s="27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</row>
    <row r="36" spans="1:256" ht="180.6" customHeight="1">
      <c r="A36" s="63"/>
      <c r="B36" s="50"/>
      <c r="C36" s="59" t="s">
        <v>28</v>
      </c>
      <c r="D36" s="60">
        <f t="shared" si="3"/>
        <v>29</v>
      </c>
      <c r="E36" s="61"/>
      <c r="F36" s="52"/>
      <c r="G36" s="45" t="s">
        <v>37</v>
      </c>
      <c r="H36" s="84"/>
      <c r="I36" s="85"/>
      <c r="J36" s="47"/>
      <c r="K36" s="27"/>
      <c r="L36" s="27"/>
      <c r="M36" s="27"/>
      <c r="N36" s="27"/>
      <c r="O36" s="27"/>
      <c r="P36" s="27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</row>
    <row r="37" spans="1:256" ht="197.65" customHeight="1">
      <c r="A37" s="63"/>
      <c r="B37" s="50"/>
      <c r="C37" s="59" t="s">
        <v>28</v>
      </c>
      <c r="D37" s="60">
        <f t="shared" si="3"/>
        <v>30</v>
      </c>
      <c r="E37" s="61" t="s">
        <v>73</v>
      </c>
      <c r="F37" s="52"/>
      <c r="G37" s="45" t="s">
        <v>37</v>
      </c>
      <c r="H37" s="84"/>
      <c r="I37" s="85"/>
      <c r="J37" s="47"/>
      <c r="K37" s="27"/>
      <c r="L37" s="27"/>
      <c r="M37" s="27"/>
      <c r="N37" s="27"/>
      <c r="O37" s="27"/>
      <c r="P37" s="27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</row>
    <row r="38" spans="1:256" ht="197.65" customHeight="1">
      <c r="A38" s="63"/>
      <c r="B38" s="50"/>
      <c r="C38" s="59" t="s">
        <v>28</v>
      </c>
      <c r="D38" s="60">
        <f t="shared" si="3"/>
        <v>31</v>
      </c>
      <c r="E38" s="61" t="s">
        <v>73</v>
      </c>
      <c r="F38" s="52"/>
      <c r="G38" s="45" t="s">
        <v>37</v>
      </c>
      <c r="H38" s="84"/>
      <c r="I38" s="85"/>
      <c r="J38" s="47"/>
      <c r="K38" s="27"/>
      <c r="L38" s="27"/>
      <c r="M38" s="27"/>
      <c r="N38" s="27"/>
      <c r="O38" s="27"/>
      <c r="P38" s="27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</row>
    <row r="39" spans="1:256" ht="235.9" customHeight="1">
      <c r="A39" s="63"/>
      <c r="B39" s="50"/>
      <c r="C39" s="59" t="s">
        <v>28</v>
      </c>
      <c r="D39" s="60">
        <f t="shared" si="3"/>
        <v>32</v>
      </c>
      <c r="E39" s="61" t="s">
        <v>73</v>
      </c>
      <c r="F39" s="52"/>
      <c r="G39" s="45" t="s">
        <v>37</v>
      </c>
      <c r="H39" s="84"/>
      <c r="I39" s="85"/>
      <c r="J39" s="47"/>
      <c r="K39" s="27"/>
      <c r="L39" s="27"/>
      <c r="M39" s="27"/>
      <c r="N39" s="27"/>
      <c r="O39" s="27"/>
      <c r="P39" s="27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</row>
    <row r="40" spans="1:256" ht="54" customHeight="1">
      <c r="A40" s="63"/>
      <c r="B40" s="50" t="s">
        <v>33</v>
      </c>
      <c r="C40" s="59" t="s">
        <v>28</v>
      </c>
      <c r="D40" s="60">
        <f t="shared" si="3"/>
        <v>33</v>
      </c>
      <c r="E40" s="61" t="s">
        <v>74</v>
      </c>
      <c r="F40" s="52"/>
      <c r="G40" s="45" t="s">
        <v>37</v>
      </c>
      <c r="H40" s="84"/>
      <c r="I40" s="85"/>
      <c r="J40" s="47"/>
      <c r="K40" s="27"/>
      <c r="L40" s="27"/>
      <c r="M40" s="27"/>
      <c r="N40" s="27"/>
      <c r="O40" s="27"/>
      <c r="P40" s="27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</row>
    <row r="41" spans="1:256" ht="235.7" customHeight="1">
      <c r="A41" s="63"/>
      <c r="B41" s="50" t="s">
        <v>33</v>
      </c>
      <c r="C41" s="59" t="s">
        <v>28</v>
      </c>
      <c r="D41" s="60">
        <f t="shared" si="3"/>
        <v>34</v>
      </c>
      <c r="E41" s="61"/>
      <c r="F41" s="52"/>
      <c r="G41" s="45" t="s">
        <v>37</v>
      </c>
      <c r="H41" s="84"/>
      <c r="I41" s="85"/>
      <c r="J41" s="47"/>
      <c r="K41" s="27"/>
      <c r="L41" s="27"/>
      <c r="M41" s="27"/>
      <c r="N41" s="27"/>
      <c r="O41" s="27"/>
      <c r="P41" s="27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8"/>
      <c r="IS41" s="48"/>
      <c r="IT41" s="48"/>
      <c r="IU41" s="48"/>
      <c r="IV41" s="48"/>
    </row>
    <row r="42" spans="1:256" ht="229.9" customHeight="1">
      <c r="A42" s="63"/>
      <c r="B42" s="50"/>
      <c r="C42" s="59" t="s">
        <v>28</v>
      </c>
      <c r="D42" s="60">
        <f t="shared" si="3"/>
        <v>35</v>
      </c>
      <c r="E42" s="61"/>
      <c r="F42" s="52"/>
      <c r="G42" s="45" t="s">
        <v>37</v>
      </c>
      <c r="H42" s="84"/>
      <c r="I42" s="85"/>
      <c r="J42" s="47"/>
      <c r="K42" s="27"/>
      <c r="L42" s="27"/>
      <c r="M42" s="27"/>
      <c r="N42" s="27"/>
      <c r="O42" s="27"/>
      <c r="P42" s="27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8"/>
      <c r="IS42" s="48"/>
      <c r="IT42" s="48"/>
      <c r="IU42" s="48"/>
      <c r="IV42" s="48"/>
    </row>
    <row r="43" spans="1:256" ht="93.2" customHeight="1">
      <c r="A43" s="63"/>
      <c r="B43" s="50" t="s">
        <v>33</v>
      </c>
      <c r="C43" s="59" t="s">
        <v>28</v>
      </c>
      <c r="D43" s="60">
        <f t="shared" si="3"/>
        <v>36</v>
      </c>
      <c r="E43" s="86" t="s">
        <v>75</v>
      </c>
      <c r="F43" s="45"/>
      <c r="G43" s="45" t="s">
        <v>76</v>
      </c>
      <c r="H43" s="45" t="s">
        <v>37</v>
      </c>
      <c r="I43" s="85"/>
      <c r="J43" s="47"/>
      <c r="K43" s="27"/>
      <c r="L43" s="27"/>
      <c r="M43" s="27"/>
      <c r="N43" s="27"/>
      <c r="O43" s="27"/>
      <c r="P43" s="27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8"/>
      <c r="IS43" s="48"/>
      <c r="IT43" s="48"/>
      <c r="IU43" s="48"/>
      <c r="IV43" s="48"/>
    </row>
    <row r="44" spans="1:256" ht="72" customHeight="1">
      <c r="A44" s="63"/>
      <c r="B44" s="50"/>
      <c r="C44" s="59" t="s">
        <v>28</v>
      </c>
      <c r="D44" s="60">
        <f t="shared" si="3"/>
        <v>37</v>
      </c>
      <c r="E44" s="61" t="s">
        <v>77</v>
      </c>
      <c r="F44" s="52"/>
      <c r="G44" s="45" t="s">
        <v>37</v>
      </c>
      <c r="H44" s="84"/>
      <c r="I44" s="85"/>
      <c r="J44" s="47"/>
      <c r="K44" s="27"/>
      <c r="L44" s="27"/>
      <c r="M44" s="27"/>
      <c r="N44" s="27"/>
      <c r="O44" s="27"/>
      <c r="P44" s="27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8"/>
      <c r="IS44" s="48"/>
      <c r="IT44" s="48"/>
      <c r="IU44" s="48"/>
      <c r="IV44" s="48"/>
    </row>
    <row r="45" spans="1:256" ht="198.4" customHeight="1">
      <c r="A45" s="63"/>
      <c r="B45" s="50" t="s">
        <v>33</v>
      </c>
      <c r="C45" s="59" t="s">
        <v>28</v>
      </c>
      <c r="D45" s="60">
        <f t="shared" si="3"/>
        <v>38</v>
      </c>
      <c r="E45" s="61"/>
      <c r="F45" s="52"/>
      <c r="G45" s="45" t="s">
        <v>37</v>
      </c>
      <c r="H45" s="84"/>
      <c r="I45" s="85"/>
      <c r="J45" s="47"/>
      <c r="K45" s="27"/>
      <c r="L45" s="27"/>
      <c r="M45" s="27"/>
      <c r="N45" s="27"/>
      <c r="O45" s="27"/>
      <c r="P45" s="27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8"/>
      <c r="IS45" s="48"/>
      <c r="IT45" s="48"/>
      <c r="IU45" s="48"/>
      <c r="IV45" s="48"/>
    </row>
    <row r="46" spans="1:256" ht="250.5" customHeight="1">
      <c r="A46" s="63">
        <v>0.36527777777777776</v>
      </c>
      <c r="B46" s="50">
        <v>0.36805555555555558</v>
      </c>
      <c r="C46" s="59"/>
      <c r="D46" s="60">
        <f t="shared" si="3"/>
        <v>39</v>
      </c>
      <c r="E46" s="61"/>
      <c r="F46" s="52"/>
      <c r="G46" s="45" t="s">
        <v>37</v>
      </c>
      <c r="H46" s="84"/>
      <c r="I46" s="85"/>
      <c r="J46" s="47"/>
      <c r="K46" s="27"/>
      <c r="L46" s="27"/>
      <c r="M46" s="27"/>
      <c r="N46" s="27"/>
      <c r="O46" s="27"/>
      <c r="P46" s="27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8"/>
      <c r="IS46" s="48"/>
      <c r="IT46" s="48"/>
      <c r="IU46" s="48"/>
      <c r="IV46" s="48"/>
    </row>
    <row r="47" spans="1:256" ht="97.15" customHeight="1">
      <c r="A47" s="63"/>
      <c r="B47" s="50" t="s">
        <v>33</v>
      </c>
      <c r="C47" s="59" t="s">
        <v>28</v>
      </c>
      <c r="D47" s="60">
        <f t="shared" si="3"/>
        <v>40</v>
      </c>
      <c r="E47" s="61" t="s">
        <v>78</v>
      </c>
      <c r="F47" s="52"/>
      <c r="G47" s="45" t="s">
        <v>37</v>
      </c>
      <c r="H47" s="84"/>
      <c r="I47" s="85"/>
      <c r="J47" s="47" t="s">
        <v>79</v>
      </c>
      <c r="K47" s="27"/>
      <c r="L47" s="27"/>
      <c r="M47" s="27"/>
      <c r="N47" s="27"/>
      <c r="O47" s="27"/>
      <c r="P47" s="27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  <c r="IR47" s="48"/>
      <c r="IS47" s="48"/>
      <c r="IT47" s="48"/>
      <c r="IU47" s="48"/>
      <c r="IV47" s="48"/>
    </row>
    <row r="48" spans="1:256" ht="54" customHeight="1">
      <c r="A48" s="87"/>
      <c r="B48" s="50" t="s">
        <v>33</v>
      </c>
      <c r="C48" s="59" t="s">
        <v>28</v>
      </c>
      <c r="D48" s="60">
        <f t="shared" si="3"/>
        <v>41</v>
      </c>
      <c r="E48" s="61" t="s">
        <v>80</v>
      </c>
      <c r="F48" s="52"/>
      <c r="G48" s="45" t="s">
        <v>37</v>
      </c>
      <c r="H48" s="84"/>
      <c r="I48" s="85"/>
      <c r="J48" s="47"/>
      <c r="K48" s="27"/>
      <c r="L48" s="27"/>
      <c r="M48" s="27"/>
      <c r="N48" s="27"/>
      <c r="O48" s="27"/>
      <c r="P48" s="27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  <c r="IR48" s="48"/>
      <c r="IS48" s="48"/>
      <c r="IT48" s="48"/>
      <c r="IU48" s="48"/>
      <c r="IV48" s="48"/>
    </row>
    <row r="49" spans="1:256" ht="72" customHeight="1">
      <c r="A49" s="88"/>
      <c r="B49" s="68" t="s">
        <v>33</v>
      </c>
      <c r="C49" s="69" t="s">
        <v>28</v>
      </c>
      <c r="D49" s="79">
        <f t="shared" si="3"/>
        <v>42</v>
      </c>
      <c r="E49" s="89" t="s">
        <v>81</v>
      </c>
      <c r="F49" s="72" t="s">
        <v>16</v>
      </c>
      <c r="G49" s="73"/>
      <c r="H49" s="74" t="s">
        <v>53</v>
      </c>
      <c r="I49" s="73"/>
      <c r="J49" s="75" t="s">
        <v>82</v>
      </c>
      <c r="K49" s="27"/>
      <c r="L49" s="27"/>
      <c r="M49" s="27"/>
      <c r="N49" s="27"/>
      <c r="O49" s="27"/>
      <c r="P49" s="27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8"/>
      <c r="IS49" s="48"/>
      <c r="IT49" s="48"/>
      <c r="IU49" s="48"/>
      <c r="IV49" s="48"/>
    </row>
    <row r="50" spans="1:256" ht="123" customHeight="1">
      <c r="A50" s="63"/>
      <c r="B50" s="50" t="s">
        <v>33</v>
      </c>
      <c r="C50" s="59" t="s">
        <v>28</v>
      </c>
      <c r="D50" s="60">
        <f t="shared" si="3"/>
        <v>43</v>
      </c>
      <c r="E50" s="61"/>
      <c r="F50" s="52"/>
      <c r="G50" s="45"/>
      <c r="H50" s="84" t="s">
        <v>53</v>
      </c>
      <c r="I50" s="85"/>
      <c r="J50" s="47" t="s">
        <v>83</v>
      </c>
      <c r="K50" s="27"/>
      <c r="L50" s="27"/>
      <c r="M50" s="27"/>
      <c r="N50" s="27"/>
      <c r="O50" s="27"/>
      <c r="P50" s="27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8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8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  <c r="IR50" s="48"/>
      <c r="IS50" s="48"/>
      <c r="IT50" s="48"/>
      <c r="IU50" s="48"/>
      <c r="IV50" s="48"/>
    </row>
    <row r="51" spans="1:256" ht="41.85" customHeight="1">
      <c r="A51" s="63"/>
      <c r="B51" s="50" t="s">
        <v>33</v>
      </c>
      <c r="C51" s="59" t="s">
        <v>28</v>
      </c>
      <c r="D51" s="60">
        <f t="shared" si="3"/>
        <v>44</v>
      </c>
      <c r="E51" s="144" t="s">
        <v>84</v>
      </c>
      <c r="F51" s="52"/>
      <c r="H51" s="46" t="s">
        <v>53</v>
      </c>
      <c r="I51" s="85"/>
      <c r="J51" s="77"/>
      <c r="K51" s="27"/>
      <c r="L51" s="27"/>
      <c r="M51" s="27"/>
      <c r="N51" s="27"/>
      <c r="O51" s="27"/>
      <c r="P51" s="27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8"/>
      <c r="IS51" s="48"/>
      <c r="IT51" s="48"/>
      <c r="IU51" s="48"/>
      <c r="IV51" s="48"/>
    </row>
    <row r="52" spans="1:256" ht="155.44999999999999" customHeight="1">
      <c r="A52" s="63"/>
      <c r="B52" s="50" t="s">
        <v>33</v>
      </c>
      <c r="C52" s="59" t="s">
        <v>28</v>
      </c>
      <c r="D52" s="60">
        <f t="shared" si="3"/>
        <v>45</v>
      </c>
      <c r="E52" s="90"/>
      <c r="F52" s="52"/>
      <c r="H52" s="46"/>
      <c r="I52" s="85"/>
      <c r="J52" s="91" t="s">
        <v>85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</row>
    <row r="53" spans="1:256" ht="60.4" customHeight="1">
      <c r="A53" s="63"/>
      <c r="B53" s="50"/>
      <c r="C53" s="59" t="s">
        <v>28</v>
      </c>
      <c r="D53" s="60">
        <f t="shared" si="3"/>
        <v>46</v>
      </c>
      <c r="E53" s="144" t="s">
        <v>86</v>
      </c>
      <c r="F53" s="45" t="s">
        <v>30</v>
      </c>
      <c r="G53" s="45" t="s">
        <v>37</v>
      </c>
      <c r="H53" s="46" t="s">
        <v>53</v>
      </c>
      <c r="I53" s="85" t="s">
        <v>54</v>
      </c>
      <c r="J53" s="91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</row>
    <row r="54" spans="1:256" ht="58.7" customHeight="1">
      <c r="A54" s="88"/>
      <c r="B54" s="68" t="s">
        <v>33</v>
      </c>
      <c r="C54" s="69" t="s">
        <v>28</v>
      </c>
      <c r="D54" s="79">
        <f t="shared" si="3"/>
        <v>47</v>
      </c>
      <c r="E54" s="92" t="s">
        <v>87</v>
      </c>
      <c r="F54" s="72"/>
      <c r="G54" s="93"/>
      <c r="H54" s="74" t="s">
        <v>53</v>
      </c>
      <c r="I54" s="82"/>
      <c r="J54" s="94"/>
      <c r="K54" s="27"/>
      <c r="L54" s="27"/>
      <c r="M54" s="27"/>
      <c r="N54" s="27"/>
      <c r="O54" s="27"/>
      <c r="P54" s="27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8"/>
      <c r="GG54" s="48"/>
      <c r="GH54" s="48"/>
      <c r="GI54" s="48"/>
      <c r="GJ54" s="48"/>
      <c r="GK54" s="48"/>
      <c r="GL54" s="48"/>
      <c r="GM54" s="48"/>
      <c r="GN54" s="48"/>
      <c r="GO54" s="48"/>
      <c r="GP54" s="48"/>
      <c r="GQ54" s="48"/>
      <c r="GR54" s="48"/>
      <c r="GS54" s="48"/>
      <c r="GT54" s="4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8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  <c r="IR54" s="48"/>
      <c r="IS54" s="48"/>
      <c r="IT54" s="48"/>
      <c r="IU54" s="48"/>
      <c r="IV54" s="48"/>
    </row>
    <row r="55" spans="1:256" ht="49.7" customHeight="1">
      <c r="A55" s="88"/>
      <c r="B55" s="68" t="s">
        <v>33</v>
      </c>
      <c r="C55" s="69" t="s">
        <v>28</v>
      </c>
      <c r="D55" s="79">
        <f t="shared" si="3"/>
        <v>48</v>
      </c>
      <c r="E55" s="95" t="s">
        <v>88</v>
      </c>
      <c r="F55" s="72"/>
      <c r="G55" s="93"/>
      <c r="H55" s="74" t="s">
        <v>53</v>
      </c>
      <c r="I55" s="82"/>
      <c r="J55" s="75" t="s">
        <v>89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</row>
    <row r="56" spans="1:256" ht="49.7" customHeight="1">
      <c r="A56" s="87"/>
      <c r="B56" s="50"/>
      <c r="C56" s="59" t="s">
        <v>28</v>
      </c>
      <c r="D56" s="60">
        <f t="shared" si="3"/>
        <v>49</v>
      </c>
      <c r="E56" s="96" t="s">
        <v>90</v>
      </c>
      <c r="F56" s="52"/>
      <c r="H56" s="46" t="s">
        <v>53</v>
      </c>
      <c r="I56" s="85"/>
      <c r="J56" s="211" t="s">
        <v>91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</row>
    <row r="57" spans="1:256" ht="49.7" customHeight="1">
      <c r="A57" s="87"/>
      <c r="B57" s="50" t="s">
        <v>92</v>
      </c>
      <c r="C57" s="59" t="s">
        <v>28</v>
      </c>
      <c r="D57" s="60">
        <f t="shared" si="3"/>
        <v>50</v>
      </c>
      <c r="E57" s="31" t="s">
        <v>93</v>
      </c>
      <c r="F57" s="52"/>
      <c r="H57" s="46" t="s">
        <v>53</v>
      </c>
      <c r="I57" s="85"/>
      <c r="J57" s="31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</row>
    <row r="58" spans="1:256" ht="49.7" customHeight="1">
      <c r="A58" s="87"/>
      <c r="B58" s="50" t="s">
        <v>92</v>
      </c>
      <c r="C58" s="59" t="s">
        <v>28</v>
      </c>
      <c r="D58" s="60">
        <f t="shared" si="3"/>
        <v>51</v>
      </c>
      <c r="E58" s="31" t="s">
        <v>94</v>
      </c>
      <c r="F58" s="52"/>
      <c r="H58" s="46" t="s">
        <v>53</v>
      </c>
      <c r="I58" s="85"/>
      <c r="J58" s="31" t="s">
        <v>95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</row>
    <row r="59" spans="1:256" ht="49.7" customHeight="1">
      <c r="A59" s="87"/>
      <c r="B59" s="50" t="s">
        <v>92</v>
      </c>
      <c r="C59" s="59" t="s">
        <v>28</v>
      </c>
      <c r="D59" s="60">
        <f t="shared" si="3"/>
        <v>52</v>
      </c>
      <c r="E59" s="31" t="s">
        <v>96</v>
      </c>
      <c r="F59" s="52"/>
      <c r="H59" s="46" t="s">
        <v>53</v>
      </c>
      <c r="I59" s="85"/>
      <c r="J59" s="31" t="s">
        <v>97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</row>
    <row r="60" spans="1:256" ht="247.15" customHeight="1">
      <c r="A60" s="87"/>
      <c r="B60" s="50" t="s">
        <v>92</v>
      </c>
      <c r="C60" s="59" t="s">
        <v>28</v>
      </c>
      <c r="D60" s="60">
        <f t="shared" si="3"/>
        <v>53</v>
      </c>
      <c r="E60" s="28"/>
      <c r="F60" s="52"/>
      <c r="H60" s="46" t="s">
        <v>53</v>
      </c>
      <c r="I60" s="85"/>
      <c r="J60" s="207" t="s">
        <v>98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</row>
    <row r="61" spans="1:256" ht="204.6" customHeight="1">
      <c r="A61" s="87"/>
      <c r="B61" s="50"/>
      <c r="C61" s="59" t="s">
        <v>28</v>
      </c>
      <c r="D61" s="60">
        <f t="shared" si="3"/>
        <v>54</v>
      </c>
      <c r="E61" s="28"/>
      <c r="F61" s="52"/>
      <c r="H61" s="46"/>
      <c r="I61" s="85" t="s">
        <v>37</v>
      </c>
      <c r="J61" s="207" t="s">
        <v>99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</row>
    <row r="62" spans="1:256" ht="286.89999999999998" customHeight="1">
      <c r="A62" s="87"/>
      <c r="B62" s="50"/>
      <c r="C62" s="59" t="s">
        <v>28</v>
      </c>
      <c r="D62" s="60">
        <f t="shared" si="3"/>
        <v>55</v>
      </c>
      <c r="E62" s="31" t="s">
        <v>100</v>
      </c>
      <c r="F62" s="52"/>
      <c r="H62" s="46" t="s">
        <v>53</v>
      </c>
      <c r="I62" s="85"/>
      <c r="J62" s="154" t="s">
        <v>101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</row>
    <row r="63" spans="1:256" ht="33" customHeight="1">
      <c r="A63" s="87"/>
      <c r="B63" s="50" t="s">
        <v>33</v>
      </c>
      <c r="C63" s="59" t="s">
        <v>28</v>
      </c>
      <c r="D63" s="60">
        <f t="shared" si="3"/>
        <v>56</v>
      </c>
      <c r="E63" s="96" t="s">
        <v>102</v>
      </c>
      <c r="F63" s="52"/>
      <c r="H63" s="46" t="s">
        <v>53</v>
      </c>
      <c r="I63" s="85"/>
      <c r="J63" s="4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</row>
    <row r="64" spans="1:256" ht="59.45" customHeight="1">
      <c r="A64" s="97"/>
      <c r="B64" s="50" t="s">
        <v>33</v>
      </c>
      <c r="C64" s="59" t="s">
        <v>28</v>
      </c>
      <c r="D64" s="60">
        <f t="shared" si="3"/>
        <v>57</v>
      </c>
      <c r="E64" s="61" t="s">
        <v>103</v>
      </c>
      <c r="F64" s="52"/>
      <c r="H64" s="46" t="s">
        <v>53</v>
      </c>
      <c r="I64" s="85"/>
      <c r="J64" s="208" t="s">
        <v>104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</row>
    <row r="65" spans="1:256" ht="142.5" customHeight="1">
      <c r="A65" s="97"/>
      <c r="B65" s="50"/>
      <c r="C65" s="59"/>
      <c r="D65" s="60">
        <f t="shared" si="3"/>
        <v>58</v>
      </c>
      <c r="E65" s="61"/>
      <c r="F65" s="52"/>
      <c r="H65" s="46" t="s">
        <v>53</v>
      </c>
      <c r="I65" s="85"/>
      <c r="J65" s="31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</row>
    <row r="66" spans="1:256" ht="154.15" customHeight="1">
      <c r="A66" s="97"/>
      <c r="B66" s="50"/>
      <c r="C66" s="59"/>
      <c r="D66" s="60">
        <f t="shared" si="3"/>
        <v>59</v>
      </c>
      <c r="E66" s="61"/>
      <c r="F66" s="52"/>
      <c r="H66" s="46" t="s">
        <v>53</v>
      </c>
      <c r="I66" s="85"/>
      <c r="J66" s="31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</row>
    <row r="67" spans="1:256" ht="33" customHeight="1">
      <c r="A67" s="88"/>
      <c r="B67" s="68" t="s">
        <v>33</v>
      </c>
      <c r="C67" s="69" t="s">
        <v>28</v>
      </c>
      <c r="D67" s="79">
        <f t="shared" si="3"/>
        <v>60</v>
      </c>
      <c r="E67" s="98" t="s">
        <v>105</v>
      </c>
      <c r="F67" s="72"/>
      <c r="G67" s="93"/>
      <c r="H67" s="74" t="s">
        <v>53</v>
      </c>
      <c r="I67" s="82"/>
      <c r="J67" s="75" t="s">
        <v>106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</row>
    <row r="68" spans="1:256" ht="33" customHeight="1">
      <c r="A68" s="87">
        <v>0.37152777777777779</v>
      </c>
      <c r="B68" s="50" t="s">
        <v>33</v>
      </c>
      <c r="C68" s="59" t="s">
        <v>28</v>
      </c>
      <c r="D68" s="60">
        <f t="shared" si="3"/>
        <v>61</v>
      </c>
      <c r="E68" s="99" t="s">
        <v>107</v>
      </c>
      <c r="F68" s="52"/>
      <c r="H68" s="46" t="s">
        <v>53</v>
      </c>
      <c r="I68" s="85"/>
      <c r="J68" s="47" t="s">
        <v>108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</row>
    <row r="69" spans="1:256" ht="33" customHeight="1">
      <c r="A69" s="87"/>
      <c r="B69" s="50" t="s">
        <v>33</v>
      </c>
      <c r="C69" s="100" t="s">
        <v>92</v>
      </c>
      <c r="D69" s="60">
        <f t="shared" si="3"/>
        <v>62</v>
      </c>
      <c r="E69" s="101" t="s">
        <v>109</v>
      </c>
      <c r="F69" s="52"/>
      <c r="H69" s="46" t="s">
        <v>53</v>
      </c>
      <c r="I69" s="85"/>
      <c r="J69" s="65" t="s">
        <v>110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</row>
    <row r="70" spans="1:256" ht="33" customHeight="1">
      <c r="A70" s="87">
        <v>0.37430555555555556</v>
      </c>
      <c r="B70" s="50" t="s">
        <v>33</v>
      </c>
      <c r="C70" s="59" t="s">
        <v>28</v>
      </c>
      <c r="D70" s="60">
        <f t="shared" si="3"/>
        <v>63</v>
      </c>
      <c r="E70" s="102" t="s">
        <v>111</v>
      </c>
      <c r="F70" s="52"/>
      <c r="H70" s="46" t="s">
        <v>53</v>
      </c>
      <c r="I70" s="85"/>
      <c r="J70" s="4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</row>
    <row r="71" spans="1:256" ht="33" customHeight="1">
      <c r="A71" s="87"/>
      <c r="B71" s="50" t="s">
        <v>33</v>
      </c>
      <c r="C71" s="59" t="s">
        <v>28</v>
      </c>
      <c r="D71" s="60">
        <f t="shared" si="3"/>
        <v>64</v>
      </c>
      <c r="E71" s="36" t="s">
        <v>112</v>
      </c>
      <c r="F71" s="52"/>
      <c r="H71" s="46" t="s">
        <v>53</v>
      </c>
      <c r="I71" s="85"/>
      <c r="J71" s="4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</row>
    <row r="72" spans="1:256" ht="33" customHeight="1">
      <c r="A72" s="63"/>
      <c r="B72" s="50" t="s">
        <v>33</v>
      </c>
      <c r="C72" s="59" t="s">
        <v>28</v>
      </c>
      <c r="D72" s="60">
        <f t="shared" si="3"/>
        <v>65</v>
      </c>
      <c r="E72" s="103" t="s">
        <v>113</v>
      </c>
      <c r="F72" s="52"/>
      <c r="H72" s="46" t="s">
        <v>53</v>
      </c>
      <c r="I72" s="85"/>
      <c r="J72" s="104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</row>
    <row r="73" spans="1:256" ht="37.5" customHeight="1">
      <c r="A73" s="63"/>
      <c r="B73" s="50"/>
      <c r="C73" s="59" t="s">
        <v>28</v>
      </c>
      <c r="D73" s="60">
        <f t="shared" ref="D73:D118" si="4">SUM(D72+1)</f>
        <v>66</v>
      </c>
      <c r="E73" s="103" t="s">
        <v>114</v>
      </c>
      <c r="F73" s="52"/>
      <c r="H73" s="46" t="s">
        <v>53</v>
      </c>
      <c r="I73" s="85"/>
      <c r="J73" s="104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</row>
    <row r="74" spans="1:256" ht="47.1" customHeight="1">
      <c r="A74" s="145"/>
      <c r="B74" s="146" t="s">
        <v>27</v>
      </c>
      <c r="C74" s="147" t="s">
        <v>28</v>
      </c>
      <c r="D74" s="148">
        <f t="shared" si="4"/>
        <v>67</v>
      </c>
      <c r="E74" s="149" t="s">
        <v>115</v>
      </c>
      <c r="F74" s="150"/>
      <c r="G74" s="170" t="s">
        <v>37</v>
      </c>
      <c r="H74" s="152"/>
      <c r="I74" s="153"/>
      <c r="J74" s="169" t="s">
        <v>116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ht="49.15" customHeight="1">
      <c r="A75" s="105"/>
      <c r="B75" s="20"/>
      <c r="C75" s="21" t="s">
        <v>28</v>
      </c>
      <c r="D75" s="106">
        <f t="shared" si="4"/>
        <v>68</v>
      </c>
      <c r="E75" s="111" t="s">
        <v>117</v>
      </c>
      <c r="F75" s="107"/>
      <c r="G75" s="108"/>
      <c r="H75" s="109"/>
      <c r="I75" s="24"/>
      <c r="J75" s="110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ht="111" customHeight="1">
      <c r="A76" s="105"/>
      <c r="B76" s="20"/>
      <c r="C76" s="21" t="s">
        <v>28</v>
      </c>
      <c r="D76" s="106">
        <f t="shared" si="4"/>
        <v>69</v>
      </c>
      <c r="E76" s="111" t="s">
        <v>118</v>
      </c>
      <c r="F76" s="107"/>
      <c r="G76" s="108"/>
      <c r="H76" s="109"/>
      <c r="I76" s="24"/>
      <c r="J76" s="110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ht="66.75" customHeight="1">
      <c r="A77" s="105"/>
      <c r="B77" s="20"/>
      <c r="C77" s="21" t="s">
        <v>28</v>
      </c>
      <c r="D77" s="106">
        <f t="shared" si="4"/>
        <v>70</v>
      </c>
      <c r="E77" s="111" t="s">
        <v>119</v>
      </c>
      <c r="F77" s="107"/>
      <c r="G77" s="108"/>
      <c r="H77" s="109"/>
      <c r="I77" s="24"/>
      <c r="J77" s="110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s="61" customFormat="1" ht="66.75" customHeight="1">
      <c r="A78" s="111"/>
      <c r="B78" s="111"/>
      <c r="C78" s="110" t="s">
        <v>28</v>
      </c>
      <c r="D78" s="106">
        <f t="shared" si="4"/>
        <v>71</v>
      </c>
      <c r="E78" s="111" t="s">
        <v>120</v>
      </c>
      <c r="F78" s="22"/>
      <c r="G78" s="111"/>
      <c r="H78" s="111"/>
      <c r="I78" s="111"/>
      <c r="J78" s="111"/>
    </row>
    <row r="79" spans="1:256" ht="47.1" customHeight="1">
      <c r="A79" s="145" t="s">
        <v>121</v>
      </c>
      <c r="B79" s="146" t="s">
        <v>27</v>
      </c>
      <c r="C79" s="147" t="s">
        <v>28</v>
      </c>
      <c r="D79" s="148">
        <f t="shared" si="4"/>
        <v>72</v>
      </c>
      <c r="E79" s="149" t="s">
        <v>122</v>
      </c>
      <c r="F79" s="150"/>
      <c r="G79" s="151"/>
      <c r="H79" s="152" t="s">
        <v>53</v>
      </c>
      <c r="I79" s="153"/>
      <c r="J79" s="169" t="s">
        <v>116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ht="49.15" customHeight="1">
      <c r="A80" s="105"/>
      <c r="B80" s="20"/>
      <c r="C80" s="21" t="s">
        <v>28</v>
      </c>
      <c r="D80" s="106">
        <f t="shared" si="4"/>
        <v>73</v>
      </c>
      <c r="E80" s="111" t="s">
        <v>117</v>
      </c>
      <c r="F80" s="107"/>
      <c r="G80" s="108"/>
      <c r="H80" s="109"/>
      <c r="I80" s="24"/>
      <c r="J80" s="110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56" ht="111" customHeight="1">
      <c r="A81" s="105"/>
      <c r="B81" s="20"/>
      <c r="C81" s="21" t="s">
        <v>28</v>
      </c>
      <c r="D81" s="106">
        <f t="shared" si="4"/>
        <v>74</v>
      </c>
      <c r="E81" s="111" t="s">
        <v>118</v>
      </c>
      <c r="F81" s="107"/>
      <c r="G81" s="108"/>
      <c r="H81" s="109"/>
      <c r="I81" s="24"/>
      <c r="J81" s="110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</row>
    <row r="82" spans="1:256" ht="66.75" customHeight="1">
      <c r="A82" s="105"/>
      <c r="B82" s="20"/>
      <c r="C82" s="21" t="s">
        <v>28</v>
      </c>
      <c r="D82" s="106">
        <f t="shared" si="4"/>
        <v>75</v>
      </c>
      <c r="E82" s="111" t="s">
        <v>119</v>
      </c>
      <c r="F82" s="107"/>
      <c r="G82" s="108"/>
      <c r="H82" s="109"/>
      <c r="I82" s="24"/>
      <c r="J82" s="110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</row>
    <row r="83" spans="1:256" s="61" customFormat="1" ht="66.75" customHeight="1">
      <c r="A83" s="111"/>
      <c r="B83" s="111"/>
      <c r="C83" s="110" t="s">
        <v>28</v>
      </c>
      <c r="D83" s="106">
        <f t="shared" si="4"/>
        <v>76</v>
      </c>
      <c r="E83" s="111" t="s">
        <v>120</v>
      </c>
      <c r="F83" s="22"/>
      <c r="G83" s="111"/>
      <c r="H83" s="111"/>
      <c r="I83" s="111"/>
      <c r="J83" s="111"/>
    </row>
    <row r="84" spans="1:256" ht="47.1" customHeight="1">
      <c r="A84" s="145"/>
      <c r="B84" s="146"/>
      <c r="C84" s="147" t="s">
        <v>28</v>
      </c>
      <c r="D84" s="148">
        <f t="shared" si="4"/>
        <v>77</v>
      </c>
      <c r="E84" s="149" t="s">
        <v>123</v>
      </c>
      <c r="F84" s="150" t="s">
        <v>30</v>
      </c>
      <c r="G84" s="151"/>
      <c r="H84" s="152"/>
      <c r="I84" s="153"/>
      <c r="J84" s="169" t="s">
        <v>116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</row>
    <row r="85" spans="1:256" ht="61.15" customHeight="1">
      <c r="A85" s="105"/>
      <c r="B85" s="20"/>
      <c r="C85" s="21" t="s">
        <v>28</v>
      </c>
      <c r="D85" s="106">
        <f t="shared" si="4"/>
        <v>78</v>
      </c>
      <c r="E85" s="111" t="s">
        <v>117</v>
      </c>
      <c r="F85" s="107"/>
      <c r="G85" s="108"/>
      <c r="H85" s="109"/>
      <c r="I85" s="24"/>
      <c r="J85" s="110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</row>
    <row r="86" spans="1:256" ht="145.9" customHeight="1">
      <c r="A86" s="105"/>
      <c r="B86" s="20"/>
      <c r="C86" s="21" t="s">
        <v>28</v>
      </c>
      <c r="D86" s="106">
        <f t="shared" si="4"/>
        <v>79</v>
      </c>
      <c r="E86" s="111" t="s">
        <v>118</v>
      </c>
      <c r="F86" s="107"/>
      <c r="G86" s="108"/>
      <c r="H86" s="109"/>
      <c r="I86" s="24"/>
      <c r="J86" s="110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</row>
    <row r="87" spans="1:256" ht="55.5" customHeight="1">
      <c r="A87" s="105"/>
      <c r="B87" s="20"/>
      <c r="C87" s="21" t="s">
        <v>28</v>
      </c>
      <c r="D87" s="106">
        <f t="shared" si="4"/>
        <v>80</v>
      </c>
      <c r="E87" s="111" t="s">
        <v>124</v>
      </c>
      <c r="F87" s="107"/>
      <c r="G87" s="108"/>
      <c r="H87" s="109"/>
      <c r="I87" s="24"/>
      <c r="J87" s="110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</row>
    <row r="88" spans="1:256" ht="49.5" customHeight="1">
      <c r="A88" s="105"/>
      <c r="B88" s="20"/>
      <c r="C88" s="21" t="s">
        <v>28</v>
      </c>
      <c r="D88" s="106">
        <f t="shared" si="4"/>
        <v>81</v>
      </c>
      <c r="E88" s="111" t="s">
        <v>120</v>
      </c>
      <c r="F88" s="107"/>
      <c r="G88" s="108"/>
      <c r="H88" s="112"/>
      <c r="I88" s="24"/>
      <c r="J88" s="110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</row>
    <row r="89" spans="1:256" ht="47.1" customHeight="1">
      <c r="A89" s="145"/>
      <c r="B89" s="146"/>
      <c r="C89" s="147" t="s">
        <v>28</v>
      </c>
      <c r="D89" s="148">
        <f t="shared" si="4"/>
        <v>82</v>
      </c>
      <c r="E89" s="149" t="s">
        <v>125</v>
      </c>
      <c r="F89" s="150" t="s">
        <v>16</v>
      </c>
      <c r="G89" s="171" t="s">
        <v>54</v>
      </c>
      <c r="H89" s="152"/>
      <c r="I89" s="153"/>
      <c r="J89" s="169" t="s">
        <v>116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</row>
    <row r="90" spans="1:256" ht="61.15" customHeight="1">
      <c r="A90" s="105"/>
      <c r="B90" s="20"/>
      <c r="C90" s="21" t="s">
        <v>28</v>
      </c>
      <c r="D90" s="106">
        <f t="shared" si="4"/>
        <v>83</v>
      </c>
      <c r="E90" s="111" t="s">
        <v>117</v>
      </c>
      <c r="F90" s="107"/>
      <c r="G90" s="108"/>
      <c r="H90" s="109"/>
      <c r="I90" s="24"/>
      <c r="J90" s="110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</row>
    <row r="91" spans="1:256" ht="145.9" customHeight="1">
      <c r="A91" s="105"/>
      <c r="B91" s="20"/>
      <c r="C91" s="21" t="s">
        <v>28</v>
      </c>
      <c r="D91" s="106">
        <f t="shared" si="4"/>
        <v>84</v>
      </c>
      <c r="E91" s="111" t="s">
        <v>118</v>
      </c>
      <c r="F91" s="107"/>
      <c r="G91" s="108"/>
      <c r="H91" s="109"/>
      <c r="I91" s="24"/>
      <c r="J91" s="110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  <c r="IT91" s="27"/>
      <c r="IU91" s="27"/>
      <c r="IV91" s="27"/>
    </row>
    <row r="92" spans="1:256" ht="55.5" customHeight="1">
      <c r="A92" s="105"/>
      <c r="B92" s="20"/>
      <c r="C92" s="21" t="s">
        <v>28</v>
      </c>
      <c r="D92" s="106">
        <f t="shared" si="4"/>
        <v>85</v>
      </c>
      <c r="E92" s="111" t="s">
        <v>124</v>
      </c>
      <c r="F92" s="107"/>
      <c r="G92" s="108"/>
      <c r="H92" s="109"/>
      <c r="I92" s="24"/>
      <c r="J92" s="110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</row>
    <row r="93" spans="1:256" ht="49.5" customHeight="1">
      <c r="A93" s="105"/>
      <c r="B93" s="20"/>
      <c r="C93" s="21" t="s">
        <v>28</v>
      </c>
      <c r="D93" s="106">
        <f t="shared" si="4"/>
        <v>86</v>
      </c>
      <c r="E93" s="111" t="s">
        <v>120</v>
      </c>
      <c r="F93" s="107"/>
      <c r="G93" s="108"/>
      <c r="H93" s="112"/>
      <c r="I93" s="24"/>
      <c r="J93" s="110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</row>
    <row r="94" spans="1:256" ht="41.85" customHeight="1">
      <c r="A94" s="145"/>
      <c r="B94" s="146"/>
      <c r="C94" s="147" t="s">
        <v>28</v>
      </c>
      <c r="D94" s="148">
        <f t="shared" si="4"/>
        <v>87</v>
      </c>
      <c r="E94" s="149" t="s">
        <v>126</v>
      </c>
      <c r="F94" s="150"/>
      <c r="G94" s="168" t="s">
        <v>127</v>
      </c>
      <c r="H94" s="153"/>
      <c r="I94" s="153"/>
      <c r="J94" s="169" t="s">
        <v>116</v>
      </c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</row>
    <row r="95" spans="1:256" ht="46.15" customHeight="1">
      <c r="A95" s="105"/>
      <c r="B95" s="20" t="s">
        <v>33</v>
      </c>
      <c r="C95" s="21" t="s">
        <v>28</v>
      </c>
      <c r="D95" s="106">
        <f t="shared" si="4"/>
        <v>88</v>
      </c>
      <c r="E95" s="111" t="s">
        <v>117</v>
      </c>
      <c r="F95" s="107"/>
      <c r="G95" s="112"/>
      <c r="H95" s="24"/>
      <c r="I95" s="24"/>
      <c r="J95" s="110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</row>
    <row r="96" spans="1:256" ht="87.4" customHeight="1">
      <c r="A96" s="105"/>
      <c r="B96" s="20" t="s">
        <v>33</v>
      </c>
      <c r="C96" s="21" t="s">
        <v>28</v>
      </c>
      <c r="D96" s="106">
        <f t="shared" si="4"/>
        <v>89</v>
      </c>
      <c r="E96" s="111" t="s">
        <v>118</v>
      </c>
      <c r="F96" s="107"/>
      <c r="G96" s="108"/>
      <c r="H96" s="112"/>
      <c r="I96" s="24"/>
      <c r="J96" s="110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</row>
    <row r="97" spans="1:256" ht="68.650000000000006" customHeight="1">
      <c r="A97" s="105"/>
      <c r="B97" s="20"/>
      <c r="C97" s="21" t="s">
        <v>28</v>
      </c>
      <c r="D97" s="106">
        <f t="shared" si="4"/>
        <v>90</v>
      </c>
      <c r="E97" s="111" t="s">
        <v>128</v>
      </c>
      <c r="F97" s="107"/>
      <c r="G97" s="108"/>
      <c r="H97" s="112"/>
      <c r="I97" s="24"/>
      <c r="J97" s="110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</row>
    <row r="98" spans="1:256" ht="61.15" customHeight="1">
      <c r="A98" s="105"/>
      <c r="B98" s="20"/>
      <c r="C98" s="21" t="s">
        <v>28</v>
      </c>
      <c r="D98" s="106">
        <f t="shared" si="4"/>
        <v>91</v>
      </c>
      <c r="E98" s="111" t="s">
        <v>120</v>
      </c>
      <c r="F98" s="107"/>
      <c r="G98" s="108"/>
      <c r="H98" s="112"/>
      <c r="I98" s="24"/>
      <c r="J98" s="110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</row>
    <row r="99" spans="1:256" ht="41.85" customHeight="1">
      <c r="A99" s="145"/>
      <c r="B99" s="146"/>
      <c r="C99" s="147" t="s">
        <v>28</v>
      </c>
      <c r="D99" s="148">
        <f>SUM(D93+1)</f>
        <v>87</v>
      </c>
      <c r="E99" s="149" t="s">
        <v>129</v>
      </c>
      <c r="F99" s="150"/>
      <c r="G99" s="168"/>
      <c r="H99" s="153"/>
      <c r="I99" s="153" t="s">
        <v>130</v>
      </c>
      <c r="J99" s="169" t="s">
        <v>116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</row>
    <row r="100" spans="1:256" ht="46.15" customHeight="1">
      <c r="A100" s="105"/>
      <c r="B100" s="20" t="s">
        <v>33</v>
      </c>
      <c r="C100" s="21" t="s">
        <v>28</v>
      </c>
      <c r="D100" s="106">
        <f t="shared" si="4"/>
        <v>88</v>
      </c>
      <c r="E100" s="111" t="s">
        <v>117</v>
      </c>
      <c r="F100" s="107"/>
      <c r="G100" s="112"/>
      <c r="H100" s="24"/>
      <c r="I100" s="24"/>
      <c r="J100" s="110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</row>
    <row r="101" spans="1:256" ht="53.65" customHeight="1">
      <c r="A101" s="105"/>
      <c r="B101" s="20" t="s">
        <v>33</v>
      </c>
      <c r="C101" s="21" t="s">
        <v>28</v>
      </c>
      <c r="D101" s="106">
        <f t="shared" si="4"/>
        <v>89</v>
      </c>
      <c r="E101" s="111" t="s">
        <v>118</v>
      </c>
      <c r="F101" s="107"/>
      <c r="G101" s="108"/>
      <c r="H101" s="112"/>
      <c r="I101" s="24"/>
      <c r="J101" s="110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</row>
    <row r="102" spans="1:256" ht="68.650000000000006" customHeight="1">
      <c r="A102" s="105"/>
      <c r="B102" s="20"/>
      <c r="C102" s="21" t="s">
        <v>28</v>
      </c>
      <c r="D102" s="106">
        <f t="shared" si="4"/>
        <v>90</v>
      </c>
      <c r="E102" s="111" t="s">
        <v>128</v>
      </c>
      <c r="F102" s="107"/>
      <c r="G102" s="108"/>
      <c r="H102" s="112"/>
      <c r="I102" s="24"/>
      <c r="J102" s="110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</row>
    <row r="103" spans="1:256" ht="61.15" customHeight="1">
      <c r="A103" s="105"/>
      <c r="B103" s="20"/>
      <c r="C103" s="21" t="s">
        <v>28</v>
      </c>
      <c r="D103" s="106">
        <f t="shared" si="4"/>
        <v>91</v>
      </c>
      <c r="E103" s="111" t="s">
        <v>120</v>
      </c>
      <c r="F103" s="107"/>
      <c r="G103" s="108"/>
      <c r="H103" s="112"/>
      <c r="I103" s="24"/>
      <c r="J103" s="110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</row>
    <row r="104" spans="1:256" ht="64.900000000000006" customHeight="1">
      <c r="A104" s="78"/>
      <c r="B104" s="68" t="s">
        <v>33</v>
      </c>
      <c r="C104" s="69" t="s">
        <v>28</v>
      </c>
      <c r="D104" s="79">
        <f>SUM(D98+1)</f>
        <v>92</v>
      </c>
      <c r="E104" s="92" t="s">
        <v>131</v>
      </c>
      <c r="F104" s="113"/>
      <c r="G104" s="73"/>
      <c r="H104" s="81"/>
      <c r="I104" s="82"/>
      <c r="J104" s="114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</row>
    <row r="105" spans="1:256" ht="50.85" customHeight="1">
      <c r="A105" s="115"/>
      <c r="B105" s="116" t="s">
        <v>33</v>
      </c>
      <c r="C105" s="117" t="s">
        <v>132</v>
      </c>
      <c r="D105" s="118">
        <f t="shared" si="4"/>
        <v>93</v>
      </c>
      <c r="E105" s="119" t="s">
        <v>133</v>
      </c>
      <c r="F105" s="120"/>
      <c r="G105" s="121"/>
      <c r="H105" s="122"/>
      <c r="I105" s="123"/>
      <c r="J105" s="124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</row>
    <row r="106" spans="1:256" ht="49.7" customHeight="1">
      <c r="A106" s="115"/>
      <c r="B106" s="116" t="s">
        <v>33</v>
      </c>
      <c r="C106" s="117" t="s">
        <v>134</v>
      </c>
      <c r="D106" s="118">
        <f t="shared" si="4"/>
        <v>94</v>
      </c>
      <c r="E106" s="125" t="s">
        <v>135</v>
      </c>
      <c r="F106" s="120"/>
      <c r="G106" s="123"/>
      <c r="H106" s="122"/>
      <c r="I106" s="123"/>
      <c r="J106" s="124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</row>
    <row r="107" spans="1:256" ht="49.7" customHeight="1">
      <c r="A107" s="115"/>
      <c r="B107" s="116"/>
      <c r="C107" s="117" t="s">
        <v>28</v>
      </c>
      <c r="D107" s="118">
        <f t="shared" si="4"/>
        <v>95</v>
      </c>
      <c r="E107" s="125" t="s">
        <v>136</v>
      </c>
      <c r="F107" s="120"/>
      <c r="G107" s="123"/>
      <c r="H107" s="122" t="s">
        <v>53</v>
      </c>
      <c r="I107" s="123"/>
      <c r="J107" s="124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</row>
    <row r="108" spans="1:256" ht="59.25" customHeight="1">
      <c r="A108" s="78"/>
      <c r="B108" s="68"/>
      <c r="C108" s="69" t="s">
        <v>28</v>
      </c>
      <c r="D108" s="79">
        <f t="shared" si="4"/>
        <v>96</v>
      </c>
      <c r="E108" s="92" t="s">
        <v>137</v>
      </c>
      <c r="F108" s="113"/>
      <c r="G108" s="82"/>
      <c r="H108" s="81" t="s">
        <v>53</v>
      </c>
      <c r="I108" s="82"/>
      <c r="J108" s="114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</row>
    <row r="109" spans="1:256" s="156" customFormat="1" ht="219" customHeight="1">
      <c r="A109" s="19"/>
      <c r="B109" s="20"/>
      <c r="C109" s="21" t="s">
        <v>138</v>
      </c>
      <c r="D109" s="106">
        <f t="shared" si="4"/>
        <v>97</v>
      </c>
      <c r="E109" s="22" t="s">
        <v>139</v>
      </c>
      <c r="F109" s="23" t="s">
        <v>30</v>
      </c>
      <c r="G109" s="24"/>
      <c r="H109" s="25" t="s">
        <v>53</v>
      </c>
      <c r="I109" s="24"/>
      <c r="J109" s="26" t="s">
        <v>140</v>
      </c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  <c r="BE109" s="155"/>
      <c r="BF109" s="155"/>
      <c r="BG109" s="155"/>
      <c r="BH109" s="155"/>
      <c r="BI109" s="155"/>
      <c r="BJ109" s="155"/>
      <c r="BK109" s="155"/>
      <c r="BL109" s="155"/>
      <c r="BM109" s="155"/>
      <c r="BN109" s="155"/>
      <c r="BO109" s="155"/>
      <c r="BP109" s="155"/>
      <c r="BQ109" s="155"/>
      <c r="BR109" s="155"/>
      <c r="BS109" s="155"/>
      <c r="BT109" s="155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55"/>
      <c r="CF109" s="155"/>
      <c r="CG109" s="155"/>
      <c r="CH109" s="155"/>
      <c r="CI109" s="155"/>
      <c r="CJ109" s="155"/>
      <c r="CK109" s="155"/>
      <c r="CL109" s="155"/>
      <c r="CM109" s="155"/>
      <c r="CN109" s="155"/>
      <c r="CO109" s="155"/>
      <c r="CP109" s="155"/>
      <c r="CQ109" s="155"/>
      <c r="CR109" s="155"/>
      <c r="CS109" s="155"/>
      <c r="CT109" s="155"/>
      <c r="CU109" s="155"/>
      <c r="CV109" s="155"/>
      <c r="CW109" s="155"/>
      <c r="CX109" s="155"/>
      <c r="CY109" s="155"/>
      <c r="CZ109" s="155"/>
      <c r="DA109" s="155"/>
      <c r="DB109" s="155"/>
      <c r="DC109" s="155"/>
      <c r="DD109" s="155"/>
      <c r="DE109" s="155"/>
      <c r="DF109" s="155"/>
      <c r="DG109" s="155"/>
      <c r="DH109" s="155"/>
      <c r="DI109" s="155"/>
      <c r="DJ109" s="155"/>
      <c r="DK109" s="155"/>
      <c r="DL109" s="155"/>
      <c r="DM109" s="155"/>
      <c r="DN109" s="155"/>
      <c r="DO109" s="155"/>
      <c r="DP109" s="155"/>
      <c r="DQ109" s="155"/>
      <c r="DR109" s="155"/>
      <c r="DS109" s="155"/>
      <c r="DT109" s="155"/>
      <c r="DU109" s="155"/>
      <c r="DV109" s="155"/>
      <c r="DW109" s="155"/>
      <c r="DX109" s="155"/>
      <c r="DY109" s="155"/>
      <c r="DZ109" s="155"/>
      <c r="EA109" s="155"/>
      <c r="EB109" s="155"/>
      <c r="EC109" s="155"/>
      <c r="ED109" s="155"/>
      <c r="EE109" s="155"/>
      <c r="EF109" s="155"/>
      <c r="EG109" s="155"/>
      <c r="EH109" s="155"/>
      <c r="EI109" s="155"/>
      <c r="EJ109" s="155"/>
      <c r="EK109" s="155"/>
      <c r="EL109" s="155"/>
      <c r="EM109" s="155"/>
      <c r="EN109" s="155"/>
      <c r="EO109" s="155"/>
      <c r="EP109" s="155"/>
      <c r="EQ109" s="155"/>
      <c r="ER109" s="155"/>
      <c r="ES109" s="155"/>
      <c r="ET109" s="155"/>
      <c r="EU109" s="155"/>
      <c r="EV109" s="155"/>
      <c r="EW109" s="155"/>
      <c r="EX109" s="155"/>
      <c r="EY109" s="155"/>
      <c r="EZ109" s="155"/>
      <c r="FA109" s="155"/>
      <c r="FB109" s="155"/>
      <c r="FC109" s="155"/>
      <c r="FD109" s="155"/>
      <c r="FE109" s="155"/>
      <c r="FF109" s="155"/>
      <c r="FG109" s="155"/>
      <c r="FH109" s="155"/>
      <c r="FI109" s="155"/>
      <c r="FJ109" s="155"/>
      <c r="FK109" s="155"/>
      <c r="FL109" s="155"/>
      <c r="FM109" s="155"/>
      <c r="FN109" s="155"/>
      <c r="FO109" s="155"/>
      <c r="FP109" s="155"/>
      <c r="FQ109" s="155"/>
      <c r="FR109" s="155"/>
      <c r="FS109" s="155"/>
      <c r="FT109" s="155"/>
      <c r="FU109" s="155"/>
      <c r="FV109" s="155"/>
      <c r="FW109" s="155"/>
      <c r="FX109" s="155"/>
      <c r="FY109" s="155"/>
      <c r="FZ109" s="155"/>
      <c r="GA109" s="155"/>
      <c r="GB109" s="155"/>
      <c r="GC109" s="155"/>
      <c r="GD109" s="155"/>
      <c r="GE109" s="155"/>
      <c r="GF109" s="155"/>
      <c r="GG109" s="155"/>
      <c r="GH109" s="155"/>
      <c r="GI109" s="155"/>
      <c r="GJ109" s="155"/>
      <c r="GK109" s="155"/>
      <c r="GL109" s="155"/>
      <c r="GM109" s="155"/>
      <c r="GN109" s="155"/>
      <c r="GO109" s="155"/>
      <c r="GP109" s="155"/>
      <c r="GQ109" s="155"/>
      <c r="GR109" s="155"/>
      <c r="GS109" s="155"/>
      <c r="GT109" s="155"/>
      <c r="GU109" s="155"/>
      <c r="GV109" s="155"/>
      <c r="GW109" s="155"/>
      <c r="GX109" s="155"/>
      <c r="GY109" s="155"/>
      <c r="GZ109" s="155"/>
      <c r="HA109" s="155"/>
      <c r="HB109" s="155"/>
      <c r="HC109" s="155"/>
      <c r="HD109" s="155"/>
      <c r="HE109" s="155"/>
      <c r="HF109" s="155"/>
      <c r="HG109" s="155"/>
      <c r="HH109" s="155"/>
      <c r="HI109" s="155"/>
      <c r="HJ109" s="155"/>
      <c r="HK109" s="155"/>
      <c r="HL109" s="155"/>
      <c r="HM109" s="155"/>
      <c r="HN109" s="155"/>
      <c r="HO109" s="155"/>
      <c r="HP109" s="155"/>
      <c r="HQ109" s="155"/>
      <c r="HR109" s="155"/>
      <c r="HS109" s="155"/>
      <c r="HT109" s="155"/>
      <c r="HU109" s="155"/>
      <c r="HV109" s="155"/>
      <c r="HW109" s="155"/>
      <c r="HX109" s="155"/>
      <c r="HY109" s="155"/>
      <c r="HZ109" s="155"/>
      <c r="IA109" s="155"/>
      <c r="IB109" s="155"/>
      <c r="IC109" s="155"/>
      <c r="ID109" s="155"/>
      <c r="IE109" s="155"/>
      <c r="IF109" s="155"/>
      <c r="IG109" s="155"/>
      <c r="IH109" s="155"/>
      <c r="II109" s="155"/>
      <c r="IJ109" s="155"/>
      <c r="IK109" s="155"/>
      <c r="IL109" s="155"/>
      <c r="IM109" s="155"/>
      <c r="IN109" s="155"/>
      <c r="IO109" s="155"/>
      <c r="IP109" s="155"/>
      <c r="IQ109" s="155"/>
      <c r="IR109" s="155"/>
      <c r="IS109" s="155"/>
      <c r="IT109" s="155"/>
      <c r="IU109" s="155"/>
      <c r="IV109" s="155"/>
    </row>
    <row r="110" spans="1:256" s="156" customFormat="1" ht="59.25" customHeight="1">
      <c r="A110" s="19"/>
      <c r="B110" s="20"/>
      <c r="C110" s="21" t="s">
        <v>138</v>
      </c>
      <c r="D110" s="106">
        <f t="shared" ref="D110:D111" si="5">SUM(D109+1)</f>
        <v>98</v>
      </c>
      <c r="E110" s="22" t="s">
        <v>141</v>
      </c>
      <c r="F110" s="23" t="s">
        <v>30</v>
      </c>
      <c r="G110" s="24"/>
      <c r="H110" s="25"/>
      <c r="I110" s="24"/>
      <c r="J110" s="26" t="s">
        <v>142</v>
      </c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  <c r="AK110" s="155"/>
      <c r="AL110" s="155"/>
      <c r="AM110" s="155"/>
      <c r="AN110" s="155"/>
      <c r="AO110" s="155"/>
      <c r="AP110" s="155"/>
      <c r="AQ110" s="155"/>
      <c r="AR110" s="155"/>
      <c r="AS110" s="155"/>
      <c r="AT110" s="155"/>
      <c r="AU110" s="155"/>
      <c r="AV110" s="155"/>
      <c r="AW110" s="155"/>
      <c r="AX110" s="155"/>
      <c r="AY110" s="155"/>
      <c r="AZ110" s="155"/>
      <c r="BA110" s="155"/>
      <c r="BB110" s="155"/>
      <c r="BC110" s="155"/>
      <c r="BD110" s="155"/>
      <c r="BE110" s="155"/>
      <c r="BF110" s="155"/>
      <c r="BG110" s="155"/>
      <c r="BH110" s="155"/>
      <c r="BI110" s="155"/>
      <c r="BJ110" s="155"/>
      <c r="BK110" s="155"/>
      <c r="BL110" s="155"/>
      <c r="BM110" s="155"/>
      <c r="BN110" s="155"/>
      <c r="BO110" s="155"/>
      <c r="BP110" s="155"/>
      <c r="BQ110" s="155"/>
      <c r="BR110" s="155"/>
      <c r="BS110" s="155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  <c r="CJ110" s="155"/>
      <c r="CK110" s="155"/>
      <c r="CL110" s="155"/>
      <c r="CM110" s="155"/>
      <c r="CN110" s="155"/>
      <c r="CO110" s="155"/>
      <c r="CP110" s="155"/>
      <c r="CQ110" s="155"/>
      <c r="CR110" s="155"/>
      <c r="CS110" s="155"/>
      <c r="CT110" s="155"/>
      <c r="CU110" s="155"/>
      <c r="CV110" s="155"/>
      <c r="CW110" s="155"/>
      <c r="CX110" s="155"/>
      <c r="CY110" s="155"/>
      <c r="CZ110" s="155"/>
      <c r="DA110" s="155"/>
      <c r="DB110" s="155"/>
      <c r="DC110" s="155"/>
      <c r="DD110" s="155"/>
      <c r="DE110" s="155"/>
      <c r="DF110" s="155"/>
      <c r="DG110" s="155"/>
      <c r="DH110" s="155"/>
      <c r="DI110" s="155"/>
      <c r="DJ110" s="155"/>
      <c r="DK110" s="155"/>
      <c r="DL110" s="155"/>
      <c r="DM110" s="155"/>
      <c r="DN110" s="155"/>
      <c r="DO110" s="155"/>
      <c r="DP110" s="155"/>
      <c r="DQ110" s="155"/>
      <c r="DR110" s="155"/>
      <c r="DS110" s="155"/>
      <c r="DT110" s="155"/>
      <c r="DU110" s="155"/>
      <c r="DV110" s="155"/>
      <c r="DW110" s="155"/>
      <c r="DX110" s="155"/>
      <c r="DY110" s="155"/>
      <c r="DZ110" s="155"/>
      <c r="EA110" s="155"/>
      <c r="EB110" s="155"/>
      <c r="EC110" s="155"/>
      <c r="ED110" s="155"/>
      <c r="EE110" s="155"/>
      <c r="EF110" s="155"/>
      <c r="EG110" s="155"/>
      <c r="EH110" s="155"/>
      <c r="EI110" s="155"/>
      <c r="EJ110" s="155"/>
      <c r="EK110" s="155"/>
      <c r="EL110" s="155"/>
      <c r="EM110" s="155"/>
      <c r="EN110" s="155"/>
      <c r="EO110" s="155"/>
      <c r="EP110" s="155"/>
      <c r="EQ110" s="155"/>
      <c r="ER110" s="155"/>
      <c r="ES110" s="155"/>
      <c r="ET110" s="155"/>
      <c r="EU110" s="155"/>
      <c r="EV110" s="155"/>
      <c r="EW110" s="155"/>
      <c r="EX110" s="155"/>
      <c r="EY110" s="155"/>
      <c r="EZ110" s="155"/>
      <c r="FA110" s="155"/>
      <c r="FB110" s="155"/>
      <c r="FC110" s="155"/>
      <c r="FD110" s="155"/>
      <c r="FE110" s="155"/>
      <c r="FF110" s="155"/>
      <c r="FG110" s="155"/>
      <c r="FH110" s="155"/>
      <c r="FI110" s="155"/>
      <c r="FJ110" s="155"/>
      <c r="FK110" s="155"/>
      <c r="FL110" s="155"/>
      <c r="FM110" s="155"/>
      <c r="FN110" s="155"/>
      <c r="FO110" s="155"/>
      <c r="FP110" s="155"/>
      <c r="FQ110" s="155"/>
      <c r="FR110" s="155"/>
      <c r="FS110" s="155"/>
      <c r="FT110" s="155"/>
      <c r="FU110" s="155"/>
      <c r="FV110" s="155"/>
      <c r="FW110" s="155"/>
      <c r="FX110" s="155"/>
      <c r="FY110" s="155"/>
      <c r="FZ110" s="155"/>
      <c r="GA110" s="155"/>
      <c r="GB110" s="155"/>
      <c r="GC110" s="155"/>
      <c r="GD110" s="155"/>
      <c r="GE110" s="155"/>
      <c r="GF110" s="155"/>
      <c r="GG110" s="155"/>
      <c r="GH110" s="155"/>
      <c r="GI110" s="155"/>
      <c r="GJ110" s="155"/>
      <c r="GK110" s="155"/>
      <c r="GL110" s="155"/>
      <c r="GM110" s="155"/>
      <c r="GN110" s="155"/>
      <c r="GO110" s="155"/>
      <c r="GP110" s="155"/>
      <c r="GQ110" s="155"/>
      <c r="GR110" s="155"/>
      <c r="GS110" s="155"/>
      <c r="GT110" s="155"/>
      <c r="GU110" s="155"/>
      <c r="GV110" s="155"/>
      <c r="GW110" s="155"/>
      <c r="GX110" s="155"/>
      <c r="GY110" s="155"/>
      <c r="GZ110" s="155"/>
      <c r="HA110" s="155"/>
      <c r="HB110" s="155"/>
      <c r="HC110" s="155"/>
      <c r="HD110" s="155"/>
      <c r="HE110" s="155"/>
      <c r="HF110" s="155"/>
      <c r="HG110" s="155"/>
      <c r="HH110" s="155"/>
      <c r="HI110" s="155"/>
      <c r="HJ110" s="155"/>
      <c r="HK110" s="155"/>
      <c r="HL110" s="155"/>
      <c r="HM110" s="155"/>
      <c r="HN110" s="155"/>
      <c r="HO110" s="155"/>
      <c r="HP110" s="155"/>
      <c r="HQ110" s="155"/>
      <c r="HR110" s="155"/>
      <c r="HS110" s="155"/>
      <c r="HT110" s="155"/>
      <c r="HU110" s="155"/>
      <c r="HV110" s="155"/>
      <c r="HW110" s="155"/>
      <c r="HX110" s="155"/>
      <c r="HY110" s="155"/>
      <c r="HZ110" s="155"/>
      <c r="IA110" s="155"/>
      <c r="IB110" s="155"/>
      <c r="IC110" s="155"/>
      <c r="ID110" s="155"/>
      <c r="IE110" s="155"/>
      <c r="IF110" s="155"/>
      <c r="IG110" s="155"/>
      <c r="IH110" s="155"/>
      <c r="II110" s="155"/>
      <c r="IJ110" s="155"/>
      <c r="IK110" s="155"/>
      <c r="IL110" s="155"/>
      <c r="IM110" s="155"/>
      <c r="IN110" s="155"/>
      <c r="IO110" s="155"/>
      <c r="IP110" s="155"/>
      <c r="IQ110" s="155"/>
      <c r="IR110" s="155"/>
      <c r="IS110" s="155"/>
      <c r="IT110" s="155"/>
      <c r="IU110" s="155"/>
      <c r="IV110" s="155"/>
    </row>
    <row r="111" spans="1:256" s="156" customFormat="1" ht="59.25" customHeight="1">
      <c r="A111" s="19"/>
      <c r="B111" s="20"/>
      <c r="C111" s="21" t="s">
        <v>138</v>
      </c>
      <c r="D111" s="106">
        <f t="shared" si="5"/>
        <v>99</v>
      </c>
      <c r="E111" s="157" t="s">
        <v>143</v>
      </c>
      <c r="F111" s="23" t="s">
        <v>30</v>
      </c>
      <c r="G111" s="24"/>
      <c r="H111" s="25"/>
      <c r="I111" s="24"/>
      <c r="J111" s="209" t="s">
        <v>144</v>
      </c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/>
      <c r="AL111" s="155"/>
      <c r="AM111" s="155"/>
      <c r="AN111" s="155"/>
      <c r="AO111" s="155"/>
      <c r="AP111" s="155"/>
      <c r="AQ111" s="155"/>
      <c r="AR111" s="155"/>
      <c r="AS111" s="155"/>
      <c r="AT111" s="155"/>
      <c r="AU111" s="155"/>
      <c r="AV111" s="155"/>
      <c r="AW111" s="155"/>
      <c r="AX111" s="155"/>
      <c r="AY111" s="155"/>
      <c r="AZ111" s="155"/>
      <c r="BA111" s="155"/>
      <c r="BB111" s="155"/>
      <c r="BC111" s="155"/>
      <c r="BD111" s="155"/>
      <c r="BE111" s="155"/>
      <c r="BF111" s="155"/>
      <c r="BG111" s="155"/>
      <c r="BH111" s="155"/>
      <c r="BI111" s="155"/>
      <c r="BJ111" s="155"/>
      <c r="BK111" s="155"/>
      <c r="BL111" s="155"/>
      <c r="BM111" s="155"/>
      <c r="BN111" s="155"/>
      <c r="BO111" s="155"/>
      <c r="BP111" s="155"/>
      <c r="BQ111" s="155"/>
      <c r="BR111" s="155"/>
      <c r="BS111" s="155"/>
      <c r="BT111" s="155"/>
      <c r="BU111" s="155"/>
      <c r="BV111" s="155"/>
      <c r="BW111" s="155"/>
      <c r="BX111" s="155"/>
      <c r="BY111" s="155"/>
      <c r="BZ111" s="155"/>
      <c r="CA111" s="155"/>
      <c r="CB111" s="155"/>
      <c r="CC111" s="155"/>
      <c r="CD111" s="155"/>
      <c r="CE111" s="155"/>
      <c r="CF111" s="155"/>
      <c r="CG111" s="155"/>
      <c r="CH111" s="155"/>
      <c r="CI111" s="155"/>
      <c r="CJ111" s="155"/>
      <c r="CK111" s="155"/>
      <c r="CL111" s="155"/>
      <c r="CM111" s="155"/>
      <c r="CN111" s="155"/>
      <c r="CO111" s="155"/>
      <c r="CP111" s="155"/>
      <c r="CQ111" s="155"/>
      <c r="CR111" s="155"/>
      <c r="CS111" s="155"/>
      <c r="CT111" s="155"/>
      <c r="CU111" s="155"/>
      <c r="CV111" s="155"/>
      <c r="CW111" s="155"/>
      <c r="CX111" s="155"/>
      <c r="CY111" s="155"/>
      <c r="CZ111" s="155"/>
      <c r="DA111" s="155"/>
      <c r="DB111" s="155"/>
      <c r="DC111" s="155"/>
      <c r="DD111" s="155"/>
      <c r="DE111" s="155"/>
      <c r="DF111" s="155"/>
      <c r="DG111" s="155"/>
      <c r="DH111" s="155"/>
      <c r="DI111" s="155"/>
      <c r="DJ111" s="155"/>
      <c r="DK111" s="155"/>
      <c r="DL111" s="155"/>
      <c r="DM111" s="155"/>
      <c r="DN111" s="155"/>
      <c r="DO111" s="155"/>
      <c r="DP111" s="155"/>
      <c r="DQ111" s="155"/>
      <c r="DR111" s="155"/>
      <c r="DS111" s="155"/>
      <c r="DT111" s="155"/>
      <c r="DU111" s="155"/>
      <c r="DV111" s="155"/>
      <c r="DW111" s="155"/>
      <c r="DX111" s="155"/>
      <c r="DY111" s="155"/>
      <c r="DZ111" s="155"/>
      <c r="EA111" s="155"/>
      <c r="EB111" s="155"/>
      <c r="EC111" s="155"/>
      <c r="ED111" s="155"/>
      <c r="EE111" s="155"/>
      <c r="EF111" s="155"/>
      <c r="EG111" s="155"/>
      <c r="EH111" s="155"/>
      <c r="EI111" s="155"/>
      <c r="EJ111" s="155"/>
      <c r="EK111" s="155"/>
      <c r="EL111" s="155"/>
      <c r="EM111" s="155"/>
      <c r="EN111" s="155"/>
      <c r="EO111" s="155"/>
      <c r="EP111" s="155"/>
      <c r="EQ111" s="155"/>
      <c r="ER111" s="155"/>
      <c r="ES111" s="155"/>
      <c r="ET111" s="155"/>
      <c r="EU111" s="155"/>
      <c r="EV111" s="155"/>
      <c r="EW111" s="155"/>
      <c r="EX111" s="155"/>
      <c r="EY111" s="155"/>
      <c r="EZ111" s="155"/>
      <c r="FA111" s="155"/>
      <c r="FB111" s="155"/>
      <c r="FC111" s="155"/>
      <c r="FD111" s="155"/>
      <c r="FE111" s="155"/>
      <c r="FF111" s="155"/>
      <c r="FG111" s="155"/>
      <c r="FH111" s="155"/>
      <c r="FI111" s="155"/>
      <c r="FJ111" s="155"/>
      <c r="FK111" s="155"/>
      <c r="FL111" s="155"/>
      <c r="FM111" s="155"/>
      <c r="FN111" s="155"/>
      <c r="FO111" s="155"/>
      <c r="FP111" s="155"/>
      <c r="FQ111" s="155"/>
      <c r="FR111" s="155"/>
      <c r="FS111" s="155"/>
      <c r="FT111" s="155"/>
      <c r="FU111" s="155"/>
      <c r="FV111" s="155"/>
      <c r="FW111" s="155"/>
      <c r="FX111" s="155"/>
      <c r="FY111" s="155"/>
      <c r="FZ111" s="155"/>
      <c r="GA111" s="155"/>
      <c r="GB111" s="155"/>
      <c r="GC111" s="155"/>
      <c r="GD111" s="155"/>
      <c r="GE111" s="155"/>
      <c r="GF111" s="155"/>
      <c r="GG111" s="155"/>
      <c r="GH111" s="155"/>
      <c r="GI111" s="155"/>
      <c r="GJ111" s="155"/>
      <c r="GK111" s="155"/>
      <c r="GL111" s="155"/>
      <c r="GM111" s="155"/>
      <c r="GN111" s="155"/>
      <c r="GO111" s="155"/>
      <c r="GP111" s="155"/>
      <c r="GQ111" s="155"/>
      <c r="GR111" s="155"/>
      <c r="GS111" s="155"/>
      <c r="GT111" s="155"/>
      <c r="GU111" s="155"/>
      <c r="GV111" s="155"/>
      <c r="GW111" s="155"/>
      <c r="GX111" s="155"/>
      <c r="GY111" s="155"/>
      <c r="GZ111" s="155"/>
      <c r="HA111" s="155"/>
      <c r="HB111" s="155"/>
      <c r="HC111" s="155"/>
      <c r="HD111" s="155"/>
      <c r="HE111" s="155"/>
      <c r="HF111" s="155"/>
      <c r="HG111" s="155"/>
      <c r="HH111" s="155"/>
      <c r="HI111" s="155"/>
      <c r="HJ111" s="155"/>
      <c r="HK111" s="155"/>
      <c r="HL111" s="155"/>
      <c r="HM111" s="155"/>
      <c r="HN111" s="155"/>
      <c r="HO111" s="155"/>
      <c r="HP111" s="155"/>
      <c r="HQ111" s="155"/>
      <c r="HR111" s="155"/>
      <c r="HS111" s="155"/>
      <c r="HT111" s="155"/>
      <c r="HU111" s="155"/>
      <c r="HV111" s="155"/>
      <c r="HW111" s="155"/>
      <c r="HX111" s="155"/>
      <c r="HY111" s="155"/>
      <c r="HZ111" s="155"/>
      <c r="IA111" s="155"/>
      <c r="IB111" s="155"/>
      <c r="IC111" s="155"/>
      <c r="ID111" s="155"/>
      <c r="IE111" s="155"/>
      <c r="IF111" s="155"/>
      <c r="IG111" s="155"/>
      <c r="IH111" s="155"/>
      <c r="II111" s="155"/>
      <c r="IJ111" s="155"/>
      <c r="IK111" s="155"/>
      <c r="IL111" s="155"/>
      <c r="IM111" s="155"/>
      <c r="IN111" s="155"/>
      <c r="IO111" s="155"/>
      <c r="IP111" s="155"/>
      <c r="IQ111" s="155"/>
      <c r="IR111" s="155"/>
      <c r="IS111" s="155"/>
      <c r="IT111" s="155"/>
      <c r="IU111" s="155"/>
      <c r="IV111" s="155"/>
    </row>
    <row r="112" spans="1:256" ht="59.25" customHeight="1">
      <c r="A112" s="63"/>
      <c r="B112" s="50" t="s">
        <v>33</v>
      </c>
      <c r="C112" s="59" t="s">
        <v>28</v>
      </c>
      <c r="D112" s="60">
        <f>SUM(D111+1)</f>
        <v>100</v>
      </c>
      <c r="E112" s="61" t="s">
        <v>145</v>
      </c>
      <c r="F112" s="126" t="s">
        <v>30</v>
      </c>
      <c r="G112" s="85"/>
      <c r="H112" s="84"/>
      <c r="I112" s="85" t="s">
        <v>30</v>
      </c>
      <c r="J112" s="7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</row>
    <row r="113" spans="1:256" ht="88.5" customHeight="1">
      <c r="A113" s="63"/>
      <c r="B113" s="50" t="s">
        <v>33</v>
      </c>
      <c r="C113" s="59" t="s">
        <v>28</v>
      </c>
      <c r="D113" s="60">
        <f t="shared" si="4"/>
        <v>101</v>
      </c>
      <c r="E113" s="61" t="s">
        <v>146</v>
      </c>
      <c r="F113" s="126"/>
      <c r="G113" s="85" t="s">
        <v>37</v>
      </c>
      <c r="H113" s="84"/>
      <c r="I113" s="85"/>
      <c r="J113" s="77" t="s">
        <v>147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</row>
    <row r="114" spans="1:256" ht="58.5" customHeight="1">
      <c r="A114" s="63"/>
      <c r="B114" s="50" t="s">
        <v>33</v>
      </c>
      <c r="C114" s="59" t="s">
        <v>28</v>
      </c>
      <c r="D114" s="60">
        <f t="shared" si="4"/>
        <v>102</v>
      </c>
      <c r="E114" s="61" t="s">
        <v>148</v>
      </c>
      <c r="F114" s="126"/>
      <c r="G114" s="85"/>
      <c r="H114" s="84" t="s">
        <v>53</v>
      </c>
      <c r="I114" s="85"/>
      <c r="J114" s="77" t="s">
        <v>149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</row>
    <row r="115" spans="1:256" ht="88.5" customHeight="1">
      <c r="A115" s="63"/>
      <c r="B115" s="50" t="s">
        <v>150</v>
      </c>
      <c r="C115" s="59" t="s">
        <v>28</v>
      </c>
      <c r="D115" s="60">
        <f t="shared" si="4"/>
        <v>103</v>
      </c>
      <c r="E115" s="127" t="s">
        <v>151</v>
      </c>
      <c r="F115" s="126"/>
      <c r="G115" s="85"/>
      <c r="H115" s="84" t="s">
        <v>53</v>
      </c>
      <c r="I115" s="85"/>
      <c r="J115" s="128" t="s">
        <v>152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</row>
    <row r="116" spans="1:256" ht="181.5" customHeight="1">
      <c r="A116" s="63"/>
      <c r="B116" s="50"/>
      <c r="C116" s="47" t="s">
        <v>28</v>
      </c>
      <c r="D116" s="60">
        <f t="shared" si="4"/>
        <v>104</v>
      </c>
      <c r="E116" s="61" t="s">
        <v>153</v>
      </c>
      <c r="F116" s="126" t="s">
        <v>30</v>
      </c>
      <c r="G116" s="85"/>
      <c r="H116" s="84"/>
      <c r="I116" s="85"/>
      <c r="J116" s="77" t="s">
        <v>154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</row>
    <row r="117" spans="1:256" ht="70.5" customHeight="1">
      <c r="A117" s="63"/>
      <c r="B117" s="50" t="s">
        <v>33</v>
      </c>
      <c r="C117" s="47" t="s">
        <v>28</v>
      </c>
      <c r="D117" s="60">
        <f t="shared" si="4"/>
        <v>105</v>
      </c>
      <c r="E117" s="61" t="s">
        <v>155</v>
      </c>
      <c r="F117" s="126" t="s">
        <v>30</v>
      </c>
      <c r="G117" s="85"/>
      <c r="H117" s="84"/>
      <c r="I117" s="85"/>
      <c r="J117" s="7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</row>
    <row r="118" spans="1:256" ht="254.65" customHeight="1">
      <c r="A118" s="63"/>
      <c r="B118" s="50"/>
      <c r="C118" s="47" t="s">
        <v>28</v>
      </c>
      <c r="D118" s="60">
        <f t="shared" si="4"/>
        <v>106</v>
      </c>
      <c r="E118" s="61"/>
      <c r="F118" s="126" t="s">
        <v>30</v>
      </c>
      <c r="G118" s="85"/>
      <c r="H118" s="84"/>
      <c r="I118" s="85"/>
      <c r="J118" s="7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</row>
    <row r="119" spans="1:256" s="167" customFormat="1" ht="84.2" customHeight="1">
      <c r="A119" s="158"/>
      <c r="B119" s="159" t="s">
        <v>33</v>
      </c>
      <c r="C119" s="160" t="s">
        <v>134</v>
      </c>
      <c r="D119" s="161">
        <f>SUM(D118+1)</f>
        <v>107</v>
      </c>
      <c r="E119" s="162" t="s">
        <v>156</v>
      </c>
      <c r="F119" s="163"/>
      <c r="G119" s="183"/>
      <c r="H119" s="164" t="s">
        <v>53</v>
      </c>
      <c r="I119" s="164"/>
      <c r="J119" s="165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66"/>
      <c r="DA119" s="166"/>
      <c r="DB119" s="166"/>
      <c r="DC119" s="166"/>
      <c r="DD119" s="166"/>
      <c r="DE119" s="166"/>
      <c r="DF119" s="166"/>
      <c r="DG119" s="166"/>
      <c r="DH119" s="166"/>
      <c r="DI119" s="166"/>
      <c r="DJ119" s="166"/>
      <c r="DK119" s="166"/>
      <c r="DL119" s="166"/>
      <c r="DM119" s="166"/>
      <c r="DN119" s="166"/>
      <c r="DO119" s="166"/>
      <c r="DP119" s="166"/>
      <c r="DQ119" s="166"/>
      <c r="DR119" s="166"/>
      <c r="DS119" s="166"/>
      <c r="DT119" s="166"/>
      <c r="DU119" s="166"/>
      <c r="DV119" s="166"/>
      <c r="DW119" s="166"/>
      <c r="DX119" s="166"/>
      <c r="DY119" s="166"/>
      <c r="DZ119" s="166"/>
      <c r="EA119" s="166"/>
      <c r="EB119" s="166"/>
      <c r="EC119" s="166"/>
      <c r="ED119" s="166"/>
      <c r="EE119" s="166"/>
      <c r="EF119" s="166"/>
      <c r="EG119" s="166"/>
      <c r="EH119" s="166"/>
      <c r="EI119" s="166"/>
      <c r="EJ119" s="166"/>
      <c r="EK119" s="166"/>
      <c r="EL119" s="166"/>
      <c r="EM119" s="166"/>
      <c r="EN119" s="166"/>
      <c r="EO119" s="166"/>
      <c r="EP119" s="166"/>
      <c r="EQ119" s="166"/>
      <c r="ER119" s="166"/>
      <c r="ES119" s="166"/>
      <c r="ET119" s="166"/>
      <c r="EU119" s="166"/>
      <c r="EV119" s="166"/>
      <c r="EW119" s="166"/>
      <c r="EX119" s="166"/>
      <c r="EY119" s="166"/>
      <c r="EZ119" s="166"/>
      <c r="FA119" s="166"/>
      <c r="FB119" s="166"/>
      <c r="FC119" s="166"/>
      <c r="FD119" s="166"/>
      <c r="FE119" s="166"/>
      <c r="FF119" s="166"/>
      <c r="FG119" s="166"/>
      <c r="FH119" s="166"/>
      <c r="FI119" s="166"/>
      <c r="FJ119" s="166"/>
      <c r="FK119" s="166"/>
      <c r="FL119" s="166"/>
      <c r="FM119" s="166"/>
      <c r="FN119" s="166"/>
      <c r="FO119" s="166"/>
      <c r="FP119" s="166"/>
      <c r="FQ119" s="166"/>
      <c r="FR119" s="166"/>
      <c r="FS119" s="166"/>
      <c r="FT119" s="166"/>
      <c r="FU119" s="166"/>
      <c r="FV119" s="166"/>
      <c r="FW119" s="166"/>
      <c r="FX119" s="166"/>
      <c r="FY119" s="166"/>
      <c r="FZ119" s="166"/>
      <c r="GA119" s="166"/>
      <c r="GB119" s="166"/>
      <c r="GC119" s="166"/>
      <c r="GD119" s="166"/>
      <c r="GE119" s="166"/>
      <c r="GF119" s="166"/>
      <c r="GG119" s="166"/>
      <c r="GH119" s="166"/>
      <c r="GI119" s="166"/>
      <c r="GJ119" s="166"/>
      <c r="GK119" s="166"/>
      <c r="GL119" s="166"/>
      <c r="GM119" s="166"/>
      <c r="GN119" s="166"/>
      <c r="GO119" s="166"/>
      <c r="GP119" s="166"/>
      <c r="GQ119" s="166"/>
      <c r="GR119" s="166"/>
      <c r="GS119" s="166"/>
      <c r="GT119" s="166"/>
      <c r="GU119" s="166"/>
      <c r="GV119" s="166"/>
      <c r="GW119" s="166"/>
      <c r="GX119" s="166"/>
      <c r="GY119" s="166"/>
      <c r="GZ119" s="166"/>
      <c r="HA119" s="166"/>
      <c r="HB119" s="166"/>
      <c r="HC119" s="166"/>
      <c r="HD119" s="166"/>
      <c r="HE119" s="166"/>
      <c r="HF119" s="166"/>
      <c r="HG119" s="166"/>
      <c r="HH119" s="166"/>
      <c r="HI119" s="166"/>
      <c r="HJ119" s="166"/>
      <c r="HK119" s="166"/>
      <c r="HL119" s="166"/>
      <c r="HM119" s="166"/>
      <c r="HN119" s="166"/>
      <c r="HO119" s="166"/>
      <c r="HP119" s="166"/>
      <c r="HQ119" s="166"/>
      <c r="HR119" s="166"/>
      <c r="HS119" s="166"/>
      <c r="HT119" s="166"/>
      <c r="HU119" s="166"/>
      <c r="HV119" s="166"/>
      <c r="HW119" s="166"/>
      <c r="HX119" s="166"/>
      <c r="HY119" s="166"/>
      <c r="HZ119" s="166"/>
      <c r="IA119" s="166"/>
      <c r="IB119" s="166"/>
      <c r="IC119" s="166"/>
      <c r="ID119" s="166"/>
      <c r="IE119" s="166"/>
      <c r="IF119" s="166"/>
      <c r="IG119" s="166"/>
      <c r="IH119" s="166"/>
      <c r="II119" s="166"/>
      <c r="IJ119" s="166"/>
      <c r="IK119" s="166"/>
      <c r="IL119" s="166"/>
      <c r="IM119" s="166"/>
      <c r="IN119" s="166"/>
      <c r="IO119" s="166"/>
      <c r="IP119" s="166"/>
      <c r="IQ119" s="166"/>
      <c r="IR119" s="166"/>
      <c r="IS119" s="166"/>
      <c r="IT119" s="166"/>
      <c r="IU119" s="166"/>
      <c r="IV119" s="166"/>
    </row>
    <row r="120" spans="1:256" ht="49.7" customHeight="1">
      <c r="A120" s="115"/>
      <c r="B120" s="116"/>
      <c r="C120" s="117" t="s">
        <v>28</v>
      </c>
      <c r="D120" s="118">
        <f t="shared" ref="D120:D121" si="6">SUM(D119+1)</f>
        <v>108</v>
      </c>
      <c r="E120" s="125" t="s">
        <v>157</v>
      </c>
      <c r="F120" s="120"/>
      <c r="G120" s="123"/>
      <c r="H120" s="122" t="s">
        <v>53</v>
      </c>
      <c r="I120" s="123"/>
      <c r="J120" s="124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</row>
    <row r="121" spans="1:256" ht="59.25" customHeight="1">
      <c r="A121" s="78"/>
      <c r="B121" s="68"/>
      <c r="C121" s="75" t="s">
        <v>28</v>
      </c>
      <c r="D121" s="79">
        <f t="shared" si="6"/>
        <v>109</v>
      </c>
      <c r="E121" s="80" t="s">
        <v>158</v>
      </c>
      <c r="F121" s="113"/>
      <c r="G121" s="82"/>
      <c r="H121" s="81"/>
      <c r="I121" s="82"/>
      <c r="J121" s="114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</row>
    <row r="122" spans="1:256" ht="55.15" customHeight="1">
      <c r="A122" s="63"/>
      <c r="B122" s="50"/>
      <c r="C122" s="59" t="s">
        <v>28</v>
      </c>
      <c r="D122" s="60">
        <f t="shared" ref="D122:D138" si="7">SUM(D121+1)</f>
        <v>110</v>
      </c>
      <c r="E122" s="38" t="s">
        <v>159</v>
      </c>
      <c r="F122" s="52"/>
      <c r="H122" s="85" t="s">
        <v>53</v>
      </c>
      <c r="I122" s="85"/>
      <c r="J122" s="77" t="s">
        <v>160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</row>
    <row r="123" spans="1:256" ht="31.7" customHeight="1">
      <c r="A123" s="63"/>
      <c r="B123" s="50" t="s">
        <v>33</v>
      </c>
      <c r="C123" s="59" t="s">
        <v>28</v>
      </c>
      <c r="D123" s="60">
        <f t="shared" si="7"/>
        <v>111</v>
      </c>
      <c r="E123" s="38" t="s">
        <v>161</v>
      </c>
      <c r="F123" s="52"/>
      <c r="H123" s="85" t="s">
        <v>53</v>
      </c>
      <c r="I123" s="85"/>
      <c r="J123" s="7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</row>
    <row r="124" spans="1:256" ht="54" customHeight="1">
      <c r="A124" s="63"/>
      <c r="B124" s="50"/>
      <c r="C124" s="59" t="s">
        <v>28</v>
      </c>
      <c r="D124" s="60">
        <f t="shared" si="7"/>
        <v>112</v>
      </c>
      <c r="E124" s="103" t="s">
        <v>162</v>
      </c>
      <c r="F124" s="52"/>
      <c r="H124" s="85" t="s">
        <v>53</v>
      </c>
      <c r="I124" s="45"/>
      <c r="J124" s="4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</row>
    <row r="125" spans="1:256" s="31" customFormat="1">
      <c r="A125" s="29"/>
      <c r="B125" s="210"/>
      <c r="C125" s="37" t="s">
        <v>28</v>
      </c>
      <c r="D125" s="60">
        <f t="shared" si="7"/>
        <v>113</v>
      </c>
      <c r="E125" s="32" t="s">
        <v>163</v>
      </c>
      <c r="H125" s="35" t="s">
        <v>53</v>
      </c>
    </row>
    <row r="126" spans="1:256" ht="39" customHeight="1">
      <c r="A126" s="57"/>
      <c r="B126" s="129" t="s">
        <v>33</v>
      </c>
      <c r="C126" s="59" t="s">
        <v>28</v>
      </c>
      <c r="D126" s="60">
        <f t="shared" si="7"/>
        <v>114</v>
      </c>
      <c r="E126" s="61" t="s">
        <v>164</v>
      </c>
      <c r="F126" s="52" t="s">
        <v>30</v>
      </c>
      <c r="H126" s="45"/>
      <c r="I126" s="45"/>
      <c r="J126" s="43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</row>
    <row r="127" spans="1:256" ht="54" customHeight="1">
      <c r="A127" s="63"/>
      <c r="B127" s="50" t="s">
        <v>33</v>
      </c>
      <c r="C127" s="59" t="s">
        <v>28</v>
      </c>
      <c r="D127" s="60">
        <f t="shared" si="7"/>
        <v>115</v>
      </c>
      <c r="E127" s="61" t="s">
        <v>165</v>
      </c>
      <c r="F127" s="130" t="s">
        <v>30</v>
      </c>
      <c r="G127" s="45"/>
      <c r="H127" s="84"/>
      <c r="I127" s="45"/>
      <c r="J127" s="4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</row>
    <row r="128" spans="1:256" ht="37.5" customHeight="1">
      <c r="A128" s="63"/>
      <c r="B128" s="50" t="s">
        <v>33</v>
      </c>
      <c r="C128" s="59" t="s">
        <v>28</v>
      </c>
      <c r="D128" s="60">
        <f t="shared" si="7"/>
        <v>116</v>
      </c>
      <c r="E128" s="61" t="s">
        <v>166</v>
      </c>
      <c r="F128" s="126"/>
      <c r="H128" s="46" t="s">
        <v>53</v>
      </c>
      <c r="I128" s="85"/>
      <c r="J128" s="7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</row>
    <row r="129" spans="1:256" ht="54" customHeight="1">
      <c r="A129" s="63"/>
      <c r="B129" s="50" t="s">
        <v>33</v>
      </c>
      <c r="C129" s="59" t="s">
        <v>28</v>
      </c>
      <c r="D129" s="60">
        <f t="shared" si="7"/>
        <v>117</v>
      </c>
      <c r="E129" s="61" t="s">
        <v>167</v>
      </c>
      <c r="F129" s="130"/>
      <c r="H129" s="85" t="s">
        <v>53</v>
      </c>
      <c r="I129" s="45"/>
      <c r="J129" s="4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</row>
    <row r="130" spans="1:256" ht="54" customHeight="1">
      <c r="A130" s="131"/>
      <c r="B130" s="132"/>
      <c r="C130" s="37" t="s">
        <v>28</v>
      </c>
      <c r="D130" s="133">
        <f t="shared" si="7"/>
        <v>118</v>
      </c>
      <c r="E130" s="134" t="s">
        <v>168</v>
      </c>
      <c r="F130" s="135"/>
      <c r="G130" s="136"/>
      <c r="H130" s="137" t="s">
        <v>53</v>
      </c>
      <c r="I130" s="137"/>
      <c r="J130" s="138" t="s">
        <v>169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</row>
    <row r="131" spans="1:256" s="31" customFormat="1">
      <c r="A131" s="29"/>
      <c r="B131" s="172"/>
      <c r="C131" s="37" t="s">
        <v>28</v>
      </c>
      <c r="D131" s="133">
        <f t="shared" si="7"/>
        <v>119</v>
      </c>
      <c r="E131" s="34" t="s">
        <v>170</v>
      </c>
      <c r="H131" s="33"/>
    </row>
    <row r="132" spans="1:256" s="31" customFormat="1">
      <c r="A132" s="29"/>
      <c r="B132" s="30"/>
      <c r="C132" s="37" t="s">
        <v>28</v>
      </c>
      <c r="D132" s="133">
        <f t="shared" si="7"/>
        <v>120</v>
      </c>
      <c r="E132" s="32" t="s">
        <v>171</v>
      </c>
      <c r="F132" s="33"/>
      <c r="G132" s="35"/>
      <c r="H132" s="35" t="s">
        <v>53</v>
      </c>
    </row>
    <row r="133" spans="1:256" s="31" customFormat="1">
      <c r="A133" s="29"/>
      <c r="B133" s="30"/>
      <c r="C133" s="37" t="s">
        <v>28</v>
      </c>
      <c r="D133" s="133">
        <f t="shared" si="7"/>
        <v>121</v>
      </c>
      <c r="E133" s="32" t="s">
        <v>172</v>
      </c>
      <c r="F133" s="33"/>
      <c r="G133" s="35"/>
      <c r="H133" s="30" t="s">
        <v>53</v>
      </c>
      <c r="J133" s="31" t="s">
        <v>173</v>
      </c>
    </row>
    <row r="134" spans="1:256" s="31" customFormat="1" ht="49.15">
      <c r="A134" s="29"/>
      <c r="B134" s="30"/>
      <c r="C134" s="37" t="s">
        <v>28</v>
      </c>
      <c r="D134" s="133">
        <f t="shared" si="7"/>
        <v>122</v>
      </c>
      <c r="E134" s="32" t="s">
        <v>174</v>
      </c>
      <c r="F134" s="33"/>
      <c r="G134" s="35"/>
      <c r="H134" s="30" t="s">
        <v>53</v>
      </c>
    </row>
    <row r="135" spans="1:256" s="31" customFormat="1">
      <c r="A135" s="29"/>
      <c r="B135" s="30"/>
      <c r="C135" s="37" t="s">
        <v>28</v>
      </c>
      <c r="D135" s="133">
        <f t="shared" si="7"/>
        <v>123</v>
      </c>
      <c r="E135" s="32" t="s">
        <v>175</v>
      </c>
      <c r="F135" s="33"/>
      <c r="G135" s="35"/>
      <c r="H135" s="30" t="s">
        <v>53</v>
      </c>
    </row>
    <row r="136" spans="1:256" s="31" customFormat="1">
      <c r="A136" s="29"/>
      <c r="B136" s="30"/>
      <c r="C136" s="37" t="s">
        <v>28</v>
      </c>
      <c r="D136" s="133">
        <f t="shared" si="7"/>
        <v>124</v>
      </c>
      <c r="E136" s="32" t="s">
        <v>176</v>
      </c>
      <c r="F136" s="33"/>
      <c r="H136" s="35" t="s">
        <v>53</v>
      </c>
    </row>
    <row r="137" spans="1:256" s="31" customFormat="1">
      <c r="A137" s="29"/>
      <c r="B137" s="33"/>
      <c r="C137" s="37" t="s">
        <v>28</v>
      </c>
      <c r="D137" s="133">
        <f t="shared" si="7"/>
        <v>125</v>
      </c>
      <c r="E137" s="32" t="s">
        <v>177</v>
      </c>
      <c r="F137" s="35" t="s">
        <v>30</v>
      </c>
      <c r="H137" s="35"/>
    </row>
    <row r="138" spans="1:256" s="31" customFormat="1">
      <c r="A138" s="29"/>
      <c r="B138" s="172"/>
      <c r="C138" s="59" t="s">
        <v>28</v>
      </c>
      <c r="D138" s="60">
        <f t="shared" si="7"/>
        <v>126</v>
      </c>
      <c r="E138" s="139" t="s">
        <v>178</v>
      </c>
      <c r="F138" s="35" t="s">
        <v>30</v>
      </c>
      <c r="H138" s="35"/>
    </row>
    <row r="140" spans="1:256">
      <c r="C140" s="28" t="s">
        <v>28</v>
      </c>
      <c r="E140" s="212" t="s">
        <v>179</v>
      </c>
    </row>
  </sheetData>
  <hyperlinks>
    <hyperlink ref="E11" r:id="rId1" xr:uid="{439E5FF0-3A79-4029-AD3B-62B9971C0400}"/>
  </hyperlinks>
  <pageMargins left="0.7" right="0.7" top="0.75" bottom="0.75" header="0.3" footer="0.3"/>
  <pageSetup scale="44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318-C2D6-4503-96B5-5B6752770E9F}">
  <dimension ref="A1:N55"/>
  <sheetViews>
    <sheetView topLeftCell="A23" workbookViewId="0">
      <selection activeCell="K40" sqref="K40"/>
    </sheetView>
  </sheetViews>
  <sheetFormatPr defaultRowHeight="14.45"/>
  <cols>
    <col min="1" max="1" width="10" bestFit="1" customWidth="1"/>
    <col min="2" max="2" width="18.7109375" customWidth="1"/>
    <col min="5" max="5" width="17.85546875" customWidth="1"/>
    <col min="12" max="12" width="10.42578125" bestFit="1" customWidth="1"/>
  </cols>
  <sheetData>
    <row r="1" spans="1:14">
      <c r="A1" s="173"/>
      <c r="B1" s="173" t="s">
        <v>180</v>
      </c>
      <c r="C1" s="173">
        <v>7858711</v>
      </c>
      <c r="D1" s="173" t="s">
        <v>181</v>
      </c>
      <c r="E1" s="173" t="s">
        <v>182</v>
      </c>
      <c r="F1" s="173"/>
      <c r="G1" s="173"/>
      <c r="H1" s="173"/>
      <c r="I1" s="173" t="s">
        <v>183</v>
      </c>
      <c r="J1" s="173"/>
      <c r="K1" s="173"/>
      <c r="L1" s="173"/>
      <c r="M1" s="173"/>
      <c r="N1" s="173"/>
    </row>
    <row r="2" spans="1:14">
      <c r="B2" t="s">
        <v>184</v>
      </c>
      <c r="C2" t="s">
        <v>185</v>
      </c>
      <c r="D2" t="s">
        <v>186</v>
      </c>
      <c r="F2" t="s">
        <v>187</v>
      </c>
      <c r="G2" s="174" t="s">
        <v>188</v>
      </c>
      <c r="H2" s="174" t="s">
        <v>186</v>
      </c>
      <c r="I2" t="s">
        <v>189</v>
      </c>
      <c r="L2" t="s">
        <v>190</v>
      </c>
      <c r="M2" t="s">
        <v>191</v>
      </c>
    </row>
    <row r="3" spans="1:14">
      <c r="B3" t="s">
        <v>192</v>
      </c>
      <c r="C3" t="s">
        <v>185</v>
      </c>
      <c r="D3" t="s">
        <v>186</v>
      </c>
      <c r="G3" s="174" t="s">
        <v>138</v>
      </c>
      <c r="H3" s="174" t="s">
        <v>186</v>
      </c>
    </row>
    <row r="4" spans="1:14">
      <c r="A4" s="175" t="s">
        <v>193</v>
      </c>
      <c r="B4" s="2" t="s">
        <v>194</v>
      </c>
      <c r="C4" t="s">
        <v>185</v>
      </c>
      <c r="D4" t="s">
        <v>186</v>
      </c>
      <c r="E4" s="7" t="s">
        <v>195</v>
      </c>
      <c r="G4" s="176"/>
      <c r="H4" s="176"/>
    </row>
    <row r="5" spans="1:14">
      <c r="B5" s="2" t="s">
        <v>196</v>
      </c>
      <c r="C5" t="s">
        <v>185</v>
      </c>
      <c r="D5" t="s">
        <v>186</v>
      </c>
      <c r="E5" s="7" t="s">
        <v>195</v>
      </c>
      <c r="G5" s="174"/>
      <c r="H5" s="174"/>
      <c r="L5" s="177"/>
    </row>
    <row r="6" spans="1:14">
      <c r="B6" s="2" t="s">
        <v>105</v>
      </c>
      <c r="C6" t="s">
        <v>197</v>
      </c>
      <c r="D6" t="s">
        <v>186</v>
      </c>
      <c r="E6" s="7" t="s">
        <v>195</v>
      </c>
      <c r="G6" s="174"/>
      <c r="H6" s="174"/>
      <c r="L6" s="177"/>
    </row>
    <row r="7" spans="1:14">
      <c r="B7" s="2" t="s">
        <v>198</v>
      </c>
      <c r="C7" t="s">
        <v>185</v>
      </c>
      <c r="D7" t="s">
        <v>186</v>
      </c>
      <c r="E7" s="7" t="s">
        <v>195</v>
      </c>
    </row>
    <row r="8" spans="1:14">
      <c r="B8" t="s">
        <v>199</v>
      </c>
      <c r="C8" t="s">
        <v>185</v>
      </c>
      <c r="D8" t="s">
        <v>200</v>
      </c>
    </row>
    <row r="9" spans="1:14">
      <c r="B9" t="s">
        <v>201</v>
      </c>
      <c r="C9" t="s">
        <v>185</v>
      </c>
      <c r="D9" t="s">
        <v>186</v>
      </c>
    </row>
    <row r="14" spans="1:14">
      <c r="A14" s="175">
        <v>1</v>
      </c>
    </row>
    <row r="15" spans="1:14">
      <c r="A15" t="s">
        <v>202</v>
      </c>
      <c r="B15" t="s">
        <v>203</v>
      </c>
    </row>
    <row r="16" spans="1:14">
      <c r="B16" t="s">
        <v>204</v>
      </c>
    </row>
    <row r="17" spans="1:2">
      <c r="B17" s="178" t="s">
        <v>205</v>
      </c>
    </row>
    <row r="19" spans="1:2">
      <c r="A19" s="175">
        <v>2</v>
      </c>
    </row>
    <row r="20" spans="1:2">
      <c r="A20" t="s">
        <v>206</v>
      </c>
      <c r="B20" t="s">
        <v>207</v>
      </c>
    </row>
    <row r="21" spans="1:2">
      <c r="B21" t="s">
        <v>208</v>
      </c>
    </row>
    <row r="22" spans="1:2">
      <c r="B22" s="178" t="s">
        <v>209</v>
      </c>
    </row>
    <row r="24" spans="1:2">
      <c r="A24" s="175">
        <v>3</v>
      </c>
    </row>
    <row r="25" spans="1:2">
      <c r="A25" t="s">
        <v>210</v>
      </c>
      <c r="B25" t="s">
        <v>211</v>
      </c>
    </row>
    <row r="26" spans="1:2">
      <c r="B26" t="s">
        <v>212</v>
      </c>
    </row>
    <row r="27" spans="1:2">
      <c r="B27" s="179" t="s">
        <v>213</v>
      </c>
    </row>
    <row r="29" spans="1:2">
      <c r="A29" s="175">
        <v>4</v>
      </c>
    </row>
    <row r="30" spans="1:2">
      <c r="A30" t="s">
        <v>214</v>
      </c>
      <c r="B30" t="s">
        <v>215</v>
      </c>
    </row>
    <row r="31" spans="1:2">
      <c r="B31" t="s">
        <v>216</v>
      </c>
    </row>
    <row r="32" spans="1:2">
      <c r="B32" t="s">
        <v>217</v>
      </c>
    </row>
    <row r="33" spans="2:2">
      <c r="B33" t="s">
        <v>218</v>
      </c>
    </row>
    <row r="35" spans="2:2">
      <c r="B35" s="180"/>
    </row>
    <row r="36" spans="2:2">
      <c r="B36" s="180" t="s">
        <v>219</v>
      </c>
    </row>
    <row r="37" spans="2:2">
      <c r="B37" s="180" t="s">
        <v>220</v>
      </c>
    </row>
    <row r="38" spans="2:2">
      <c r="B38" s="180" t="s">
        <v>221</v>
      </c>
    </row>
    <row r="39" spans="2:2">
      <c r="B39" s="180" t="s">
        <v>222</v>
      </c>
    </row>
    <row r="40" spans="2:2">
      <c r="B40" s="180" t="s">
        <v>223</v>
      </c>
    </row>
    <row r="41" spans="2:2">
      <c r="B41" s="180" t="s">
        <v>224</v>
      </c>
    </row>
    <row r="42" spans="2:2">
      <c r="B42" s="180" t="s">
        <v>225</v>
      </c>
    </row>
    <row r="43" spans="2:2">
      <c r="B43" s="180" t="s">
        <v>226</v>
      </c>
    </row>
    <row r="44" spans="2:2">
      <c r="B44" s="180" t="s">
        <v>227</v>
      </c>
    </row>
    <row r="45" spans="2:2">
      <c r="B45" s="180" t="s">
        <v>228</v>
      </c>
    </row>
    <row r="46" spans="2:2">
      <c r="B46" s="180" t="s">
        <v>229</v>
      </c>
    </row>
    <row r="47" spans="2:2">
      <c r="B47" s="180" t="s">
        <v>230</v>
      </c>
    </row>
    <row r="48" spans="2:2">
      <c r="B48" s="180" t="s">
        <v>231</v>
      </c>
    </row>
    <row r="49" spans="1:2">
      <c r="B49" s="180" t="s">
        <v>232</v>
      </c>
    </row>
    <row r="50" spans="1:2">
      <c r="B50" s="180" t="s">
        <v>233</v>
      </c>
    </row>
    <row r="51" spans="1:2">
      <c r="B51" s="180" t="s">
        <v>234</v>
      </c>
    </row>
    <row r="52" spans="1:2">
      <c r="B52" s="181" t="s">
        <v>235</v>
      </c>
    </row>
    <row r="55" spans="1:2">
      <c r="A55" s="17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M19"/>
  <sheetViews>
    <sheetView workbookViewId="0">
      <selection activeCell="C13" sqref="C13"/>
    </sheetView>
  </sheetViews>
  <sheetFormatPr defaultRowHeight="14.45"/>
  <cols>
    <col min="1" max="1" width="14.42578125" bestFit="1" customWidth="1"/>
    <col min="2" max="2" width="11.42578125" bestFit="1" customWidth="1"/>
    <col min="4" max="4" width="12.140625" bestFit="1" customWidth="1"/>
    <col min="5" max="5" width="11.42578125" bestFit="1" customWidth="1"/>
  </cols>
  <sheetData>
    <row r="1" spans="1:13">
      <c r="A1" s="4" t="s">
        <v>236</v>
      </c>
      <c r="D1" s="4" t="s">
        <v>237</v>
      </c>
    </row>
    <row r="2" spans="1:13">
      <c r="B2" s="3" t="s">
        <v>238</v>
      </c>
      <c r="E2" s="3" t="s">
        <v>238</v>
      </c>
    </row>
    <row r="3" spans="1:13">
      <c r="B3" t="s">
        <v>239</v>
      </c>
      <c r="C3" t="s">
        <v>240</v>
      </c>
      <c r="E3" t="s">
        <v>239</v>
      </c>
    </row>
    <row r="4" spans="1:13">
      <c r="B4" t="s">
        <v>241</v>
      </c>
      <c r="C4" t="s">
        <v>242</v>
      </c>
      <c r="E4" t="s">
        <v>241</v>
      </c>
    </row>
    <row r="5" spans="1:13">
      <c r="B5" t="s">
        <v>243</v>
      </c>
      <c r="C5" t="s">
        <v>242</v>
      </c>
      <c r="E5" t="s">
        <v>243</v>
      </c>
      <c r="J5" t="s">
        <v>244</v>
      </c>
    </row>
    <row r="6" spans="1:13">
      <c r="B6" t="s">
        <v>245</v>
      </c>
      <c r="C6" t="s">
        <v>242</v>
      </c>
      <c r="E6" t="s">
        <v>245</v>
      </c>
      <c r="J6" t="s">
        <v>246</v>
      </c>
    </row>
    <row r="7" spans="1:13">
      <c r="B7" t="s">
        <v>247</v>
      </c>
      <c r="C7" t="s">
        <v>242</v>
      </c>
      <c r="E7" t="s">
        <v>247</v>
      </c>
    </row>
    <row r="8" spans="1:13">
      <c r="B8" t="s">
        <v>248</v>
      </c>
      <c r="C8" t="s">
        <v>242</v>
      </c>
      <c r="E8" t="s">
        <v>248</v>
      </c>
    </row>
    <row r="9" spans="1:13">
      <c r="B9" t="s">
        <v>249</v>
      </c>
      <c r="C9" t="s">
        <v>242</v>
      </c>
      <c r="E9" t="s">
        <v>249</v>
      </c>
      <c r="J9" t="s">
        <v>250</v>
      </c>
    </row>
    <row r="10" spans="1:13">
      <c r="B10" t="s">
        <v>251</v>
      </c>
      <c r="C10" t="s">
        <v>242</v>
      </c>
      <c r="E10" t="s">
        <v>251</v>
      </c>
      <c r="J10" t="s">
        <v>252</v>
      </c>
      <c r="L10" t="s">
        <v>253</v>
      </c>
    </row>
    <row r="11" spans="1:13">
      <c r="B11" t="s">
        <v>254</v>
      </c>
      <c r="C11" t="s">
        <v>242</v>
      </c>
      <c r="E11" t="s">
        <v>254</v>
      </c>
    </row>
    <row r="12" spans="1:13">
      <c r="B12" t="s">
        <v>255</v>
      </c>
      <c r="C12" t="s">
        <v>242</v>
      </c>
      <c r="E12" t="s">
        <v>255</v>
      </c>
      <c r="J12" s="2" t="s">
        <v>256</v>
      </c>
      <c r="K12" s="2"/>
      <c r="L12" s="2" t="s">
        <v>257</v>
      </c>
      <c r="M12" s="2"/>
    </row>
    <row r="13" spans="1:13" ht="43.15">
      <c r="A13" s="8" t="s">
        <v>258</v>
      </c>
      <c r="B13" s="2" t="s">
        <v>259</v>
      </c>
      <c r="C13" t="s">
        <v>242</v>
      </c>
      <c r="E13" t="s">
        <v>260</v>
      </c>
    </row>
    <row r="14" spans="1:13">
      <c r="B14" t="s">
        <v>260</v>
      </c>
      <c r="C14" t="s">
        <v>261</v>
      </c>
      <c r="E14" t="s">
        <v>262</v>
      </c>
    </row>
    <row r="15" spans="1:13">
      <c r="B15" t="s">
        <v>262</v>
      </c>
      <c r="C15" t="s">
        <v>263</v>
      </c>
    </row>
    <row r="16" spans="1:13" ht="43.15">
      <c r="A16" s="8" t="s">
        <v>258</v>
      </c>
      <c r="B16" s="2" t="s">
        <v>264</v>
      </c>
      <c r="C16" t="s">
        <v>265</v>
      </c>
      <c r="D16" s="7" t="s">
        <v>266</v>
      </c>
      <c r="E16" s="7"/>
      <c r="F16" s="7"/>
      <c r="G16" s="7"/>
    </row>
    <row r="19" spans="2:2">
      <c r="B19" t="s">
        <v>267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0:H10"/>
  <sheetViews>
    <sheetView workbookViewId="0">
      <selection activeCell="C5" sqref="C5"/>
    </sheetView>
  </sheetViews>
  <sheetFormatPr defaultRowHeight="14.45"/>
  <cols>
    <col min="3" max="3" width="32" customWidth="1"/>
    <col min="8" max="8" width="8.42578125" bestFit="1" customWidth="1"/>
  </cols>
  <sheetData>
    <row r="10" spans="3:8" ht="66.599999999999994">
      <c r="C10" s="14" t="s">
        <v>151</v>
      </c>
      <c r="D10" s="15"/>
      <c r="E10" s="16" t="s">
        <v>53</v>
      </c>
      <c r="F10" s="17"/>
      <c r="G10" s="16"/>
      <c r="H10" s="18" t="s">
        <v>152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7661-EC36-41DB-B30F-F2955A8A58F6}">
  <dimension ref="C1:C41"/>
  <sheetViews>
    <sheetView workbookViewId="0">
      <selection activeCell="C42" sqref="C42"/>
    </sheetView>
  </sheetViews>
  <sheetFormatPr defaultRowHeight="14.45"/>
  <sheetData>
    <row r="1" spans="3:3">
      <c r="C1" t="s">
        <v>268</v>
      </c>
    </row>
    <row r="41" spans="3:3">
      <c r="C41" t="s">
        <v>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McLane Company,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Engbrock</dc:creator>
  <cp:keywords/>
  <dc:description/>
  <cp:lastModifiedBy>Arunakumar Dalai</cp:lastModifiedBy>
  <cp:revision/>
  <dcterms:created xsi:type="dcterms:W3CDTF">2016-07-15T20:38:30Z</dcterms:created>
  <dcterms:modified xsi:type="dcterms:W3CDTF">2026-04-30T09:30:04Z</dcterms:modified>
  <cp:category/>
  <cp:contentStatus/>
</cp:coreProperties>
</file>